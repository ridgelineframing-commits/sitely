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ettings" sheetId="2" state="visible" r:id="rId4"/>
    <sheet name="Specifications" sheetId="3" state="visible" r:id="rId5"/>
    <sheet name="Estimate" sheetId="4" state="visible" r:id="rId6"/>
    <sheet name="Allowances" sheetId="5" state="visible" r:id="rId7"/>
    <sheet name="Schedule" sheetId="6" state="visible" r:id="rId8"/>
    <sheet name="Calendar" sheetId="7" state="visible" r:id="rId9"/>
    <sheet name="Exclusions" sheetId="8" state="visible" r:id="rId10"/>
    <sheet name="Draws" sheetId="9" state="visible" r:id="rId11"/>
    <sheet name="Material Takeoff" sheetId="10" state="visible" r:id="rId12"/>
    <sheet name="Material Estimate" sheetId="11" state="visible" r:id="rId13"/>
    <sheet name="Calculators" sheetId="12" state="visible" r:id="rId14"/>
    <sheet name="Price Database" sheetId="13" state="visible" r:id="rId15"/>
  </sheets>
  <definedNames>
    <definedName function="false" hidden="false" localSheetId="4" name="_xlnm.Print_Area" vbProcedure="false">Allowances!$A$1:$H$46</definedName>
    <definedName function="false" hidden="false" localSheetId="4" name="_xlnm.Print_Titles" vbProcedure="false">Allowances!$1:$5</definedName>
    <definedName function="false" hidden="false" localSheetId="11" name="_xlnm.Print_Area" vbProcedure="false">Calculators!$A$1:$H$90</definedName>
    <definedName function="false" hidden="false" localSheetId="6" name="_xlnm.Print_Area" vbProcedure="false">Calendar!$A$1:$H$79</definedName>
    <definedName function="false" hidden="false" localSheetId="8" name="_xlnm.Print_Area" vbProcedure="false">Draws!$A$1:$L$156</definedName>
    <definedName function="false" hidden="false" localSheetId="8" name="_xlnm.Print_Titles" vbProcedure="false">Draws!$1:$5</definedName>
    <definedName function="false" hidden="false" localSheetId="3" name="_xlnm.Print_Area" vbProcedure="false">Estimate!$A$1:$F$134</definedName>
    <definedName function="false" hidden="false" localSheetId="3" name="_xlnm.Print_Titles" vbProcedure="false">Estimate!$1:$5</definedName>
    <definedName function="false" hidden="false" localSheetId="7" name="_xlnm.Print_Area" vbProcedure="false">Exclusions!$A$1:$B$75</definedName>
    <definedName function="false" hidden="false" localSheetId="7" name="_xlnm.Print_Titles" vbProcedure="false">Exclusions!$1:$5</definedName>
    <definedName function="false" hidden="false" localSheetId="10" name="_xlnm.Print_Area" vbProcedure="false">'Material Estimate'!$A$1:$H$95</definedName>
    <definedName function="false" hidden="false" localSheetId="9" name="_xlnm.Print_Area" vbProcedure="false">'Material Takeoff'!$A$1:$G$84</definedName>
    <definedName function="false" hidden="false" localSheetId="12" name="_xlnm.Print_Area" vbProcedure="false">'Price Database'!$A$1:$H$37</definedName>
    <definedName function="false" hidden="false" localSheetId="0" name="_xlnm.Print_Area" vbProcedure="false">'Read Me'!$A$1:$B$40</definedName>
    <definedName function="false" hidden="false" localSheetId="5" name="_xlnm.Print_Area" vbProcedure="false">Schedule!$A$1:$I$96</definedName>
    <definedName function="false" hidden="false" localSheetId="1" name="_xlnm.Print_Area" vbProcedure="false">Settings!$A$1:$D$47</definedName>
    <definedName function="false" hidden="false" localSheetId="2" name="_xlnm.Print_Area" vbProcedure="false">Specifications!$A$1:$B$99</definedName>
    <definedName function="false" hidden="false" localSheetId="2" name="_xlnm.Print_Titles" vbProcedure="false">Specifications!$1:$5</definedName>
  </definedName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Ridgeline</author>
  </authors>
  <commentList>
    <comment ref="G3" authorId="0">
      <text>
        <r>
          <rPr>
            <sz val="10"/>
            <rFont val="Arial"/>
            <family val="2"/>
          </rPr>
          <t xml:space="preserve">Optional. Type a date to PIN this task's Start, overriding the predecessor. Leave blank to flow from Duration + Predecessor.</t>
        </r>
      </text>
    </comment>
  </commentList>
</comments>
</file>

<file path=xl/sharedStrings.xml><?xml version="1.0" encoding="utf-8"?>
<sst xmlns="http://schemas.openxmlformats.org/spreadsheetml/2006/main" count="1949" uniqueCount="999">
  <si>
    <t xml:space="preserve">RIDGELINE CONSTRUCTION  —  Project Template</t>
  </si>
  <si>
    <t xml:space="preserve">TABS</t>
  </si>
  <si>
    <t xml:space="preserve">Settings · Specifications (descriptions) · Estimate (pricing) · Schedule.</t>
  </si>
  <si>
    <t xml:space="preserve">PRICING  (cost ▸ markup ▸ ext ▸ tax ▸ total)</t>
  </si>
  <si>
    <t xml:space="preserve">Enter My Cost &amp; Markup % in the yellow INTERNAL columns (right). Ext Cost = cost + markup = the</t>
  </si>
  <si>
    <t xml:space="preserve">customer's pre-tax price. Those internal columns are outside the print area — never printed.</t>
  </si>
  <si>
    <t xml:space="preserve">DESCRIPTIONS &amp; PRINTING</t>
  </si>
  <si>
    <t xml:space="preserve">Click a blue cost code to jump to its description on Specifications. Run PrintPacket (Alt+F8) for the</t>
  </si>
  <si>
    <t xml:space="preserve">clean packet: Specifications ▸ Estimate ▸ (optional) Schedule.</t>
  </si>
  <si>
    <t xml:space="preserve">MACROS (import Ridgeline_Macros.bas: Alt+F11 ▸ File ▸ Import)</t>
  </si>
  <si>
    <t xml:space="preserve">AddCostLine · DeleteCostLine · AdoptSuggested · BuildScheduleFromToggles · PrintPacket · ExportScheduleICS · PublishProject.</t>
  </si>
  <si>
    <t xml:space="preserve">Prefer no macros? Ask me to publish or export a calendar and I'll do it here.</t>
  </si>
  <si>
    <t xml:space="preserve">Deck job? AddCostLine under 0310 → 'Materials - Deck package', Suggested $ ='Material Estimate'!$H$65.</t>
  </si>
  <si>
    <t xml:space="preserve">SETUP — do this ONCE, then reuse as a template</t>
  </si>
  <si>
    <t xml:space="preserve">You only install the macros one time. After that, save this file as a template and every new job</t>
  </si>
  <si>
    <t xml:space="preserve">copied from it already has them — no re-importing per project.</t>
  </si>
  <si>
    <t xml:space="preserve">1.  File ▸ Save As ▸ type = 'Excel Macro-Enabled Template (*.xltm)'  (or *.xlsm for a master copy).</t>
  </si>
  <si>
    <t xml:space="preserve">2.  Alt+F11 ▸ File ▸ Import File ▸ Ridgeline_Macros.bas   (adds AddCostLine, AdoptSuggested, PrintPacket, etc.)</t>
  </si>
  <si>
    <t xml:space="preserve">3.  Alt+F11 ▸ double-click the 'Schedule' sheet ▸ paste the code from Schedule_Status_Automation.txt.</t>
  </si>
  <si>
    <t xml:space="preserve">4.  Save.  Done — the macros and status automation now live inside the file.</t>
  </si>
  <si>
    <t xml:space="preserve">NEW PROJECT each time:  File ▸ New ▸ (pick this template)   — or just copy the .xlsm and rename it.</t>
  </si>
  <si>
    <t xml:space="preserve">Updating the macros later? Alt+F11 ▸ right-click the old 'RidgelineTools' module ▸ Remove (No to export) ▸ re-Import.</t>
  </si>
  <si>
    <t xml:space="preserve">Import = the .bas (buttons).   Paste into the Schedule sheet = the .txt (auto status behavior).</t>
  </si>
  <si>
    <t xml:space="preserve">RIDGELINE CONSTRUCTION</t>
  </si>
  <si>
    <t xml:space="preserve">Estimate + Schedule  -  master project template</t>
  </si>
  <si>
    <t xml:space="preserve">  Project Information</t>
  </si>
  <si>
    <t xml:space="preserve">Project / Client</t>
  </si>
  <si>
    <t xml:space="preserve">Truesdell SFD</t>
  </si>
  <si>
    <t xml:space="preserve">Project Address</t>
  </si>
  <si>
    <t xml:space="preserve">Estimate #</t>
  </si>
  <si>
    <t xml:space="preserve">EST-1001</t>
  </si>
  <si>
    <t xml:space="preserve">  Takeoff Quantities  (drive the Suggested $ column)</t>
  </si>
  <si>
    <t xml:space="preserve">Living space SF</t>
  </si>
  <si>
    <t xml:space="preserve">Heated area; drives $/sf, flooring, framing, etc.</t>
  </si>
  <si>
    <t xml:space="preserve">Garage SF</t>
  </si>
  <si>
    <t xml:space="preserve">Covered porch SF</t>
  </si>
  <si>
    <t xml:space="preserve">Deck SF</t>
  </si>
  <si>
    <t xml:space="preserve">Covered deck SF</t>
  </si>
  <si>
    <t xml:space="preserve">Exterior concrete SF</t>
  </si>
  <si>
    <t xml:space="preserve">Driveway length (lf)</t>
  </si>
  <si>
    <t xml:space="preserve">Foundation wall (lin ft)</t>
  </si>
  <si>
    <t xml:space="preserve">Avg foundation wall ht (ft)</t>
  </si>
  <si>
    <t xml:space="preserve">Avg ceiling ht (ft)</t>
  </si>
  <si>
    <t xml:space="preserve">Exterior wall SF</t>
  </si>
  <si>
    <t xml:space="preserve">foundation lf x avg ceiling ht</t>
  </si>
  <si>
    <t xml:space="preserve">Tile area SF</t>
  </si>
  <si>
    <t xml:space="preserve">Remaining floor SF</t>
  </si>
  <si>
    <t xml:space="preserve">living minus tile  (to LVT/laminate)</t>
  </si>
  <si>
    <t xml:space="preserve">Kitchen run (lin ft)</t>
  </si>
  <si>
    <t xml:space="preserve">Counter + upper &amp; lower cab length</t>
  </si>
  <si>
    <t xml:space="preserve">Windows (qty)</t>
  </si>
  <si>
    <t xml:space="preserve">Exterior doors (qty)</t>
  </si>
  <si>
    <t xml:space="preserve">Sliding glass doors (qty)</t>
  </si>
  <si>
    <t xml:space="preserve">Garage doors (qty)</t>
  </si>
  <si>
    <t xml:space="preserve">Total under roof</t>
  </si>
  <si>
    <t xml:space="preserve">Living + garage + covered porch</t>
  </si>
  <si>
    <t xml:space="preserve">Gable area SF</t>
  </si>
  <si>
    <t xml:space="preserve">Added to siding labor/paint &amp; material totals</t>
  </si>
  <si>
    <t xml:space="preserve">  Assumptions</t>
  </si>
  <si>
    <t xml:space="preserve">Sales Tax %</t>
  </si>
  <si>
    <t xml:space="preserve">Shown to customer; applied to taxable lines</t>
  </si>
  <si>
    <t xml:space="preserve">Default Markup %</t>
  </si>
  <si>
    <t xml:space="preserve">INTERNAL margin - drives every non-passthrough line</t>
  </si>
  <si>
    <t xml:space="preserve">Project Start Date</t>
  </si>
  <si>
    <t xml:space="preserve">Schedule + milestones flow from this</t>
  </si>
  <si>
    <t xml:space="preserve">  Company / Branding</t>
  </si>
  <si>
    <t xml:space="preserve">Company</t>
  </si>
  <si>
    <t xml:space="preserve">Ridgeline Construction</t>
  </si>
  <si>
    <t xml:space="preserve">Mailing</t>
  </si>
  <si>
    <t xml:space="preserve">PO Box 516, Longview, WA 98632</t>
  </si>
  <si>
    <t xml:space="preserve">Phone</t>
  </si>
  <si>
    <t xml:space="preserve">360-200-1716</t>
  </si>
  <si>
    <t xml:space="preserve">  Milestone Anchor Dates  (auto from start; edit as needed)</t>
  </si>
  <si>
    <t xml:space="preserve">Financing</t>
  </si>
  <si>
    <t xml:space="preserve">Permitting</t>
  </si>
  <si>
    <t xml:space="preserve">Foundation</t>
  </si>
  <si>
    <t xml:space="preserve">SPECIFICATIONS</t>
  </si>
  <si>
    <t xml:space="preserve">Code</t>
  </si>
  <si>
    <t xml:space="preserve">Item &amp; Specification</t>
  </si>
  <si>
    <t xml:space="preserve">0100</t>
  </si>
  <si>
    <t xml:space="preserve">General Conditions</t>
  </si>
  <si>
    <t xml:space="preserve">0110</t>
  </si>
  <si>
    <t xml:space="preserve">Permits   (Allowance)</t>
  </si>
  <si>
    <t xml:space="preserve">Builder will prepare and submit applications for the standard building, mechanical, plumbing, and electrical permits required by the jurisdiction. The permit allowance covers typical permit fees and is billed at actual cost. Not included: planning/design review, SEPA or environmental review, impact, traffic, school, or park fees, and any plan-revision fees — these are billed in addition if required. Owner is responsible for HOA submittals and approvals.</t>
  </si>
  <si>
    <t xml:space="preserve">0120</t>
  </si>
  <si>
    <t xml:space="preserve">Electrical Utility Connections   (Allowance)</t>
  </si>
  <si>
    <t xml:space="preserve">Electric: connection to public power including transformer and meter base. Service is assumed available at the road adjacent to the property line; trenching, conduit, or boring beyond that point is not included. Gas (if applicable): coordination of the gas service connection to the meter — confirm provider and tap location. Cable / phone / internet: owner coordinates underground installation with Comcast &amp; CenturyLink and arranges activation after taking possession.</t>
  </si>
  <si>
    <t xml:space="preserve">0130</t>
  </si>
  <si>
    <t xml:space="preserve">Excavation   (Allowance)</t>
  </si>
  <si>
    <t xml:space="preserve">Strip and stockpile existing topsoil on site where practical. Excavate for the foundation to plan bottom per the architectural drawings; spoils are stockpiled for backfill. Unknowns: unsuitable or unstable soils (rock, soft clay, sinkholes, high water table) cannot be priced before excavation and are billed as a change if encountered. Builder backfills with existing soils, rough-grades excess on site, and spreads stockpiled topsoil over disturbed areas. Owner is responsible for seeding, irrigation, fertilizing, and final yard. Not included: import of additional topsoil, off-site haul of excess spoils (except demolition debris), hidden/undisclosed wells, tanks, or pits. Erosion control (silt fence) installed and maintained per permit.</t>
  </si>
  <si>
    <t xml:space="preserve">0140</t>
  </si>
  <si>
    <t xml:space="preserve">Septic system design &amp; install   (Allowance)</t>
  </si>
  <si>
    <t xml:space="preserve">Design, permitting, and installation of an on-site septic system, assumed to be a pressure-distribution system without pretreatment. Includes tank, pump, drainfield, control panel, and float alarm. Final engineered design and health-department approval are required to confirm system type, size, and cost; pretreatment (if required by the site/soils) is an added cost.</t>
  </si>
  <si>
    <t xml:space="preserve">0150</t>
  </si>
  <si>
    <t xml:space="preserve">Well setup   (Allowance)</t>
  </si>
  <si>
    <t xml:space="preserve">Well pump, pressure tank, controller/pressure switch, and wiring from the panel to the well. Not included unless noted: well drilling, well house/pump house, and water treatment — coordinate with the well driller. *(Currently $0 — confirm whether the lot is on a well or public water.)*</t>
  </si>
  <si>
    <t xml:space="preserve">0190</t>
  </si>
  <si>
    <t xml:space="preserve">Job site services</t>
  </si>
  <si>
    <t xml:space="preserve">General conditions for the duration of the project: temporary toilet maintained on site, dumpsters/debris removal as needed, and ongoing site cleanup. Professional rough and final cleaning, with a detailed final clean before the owner orientation/walkthrough. Temporary power and water as needed during construction.</t>
  </si>
  <si>
    <t xml:space="preserve">0200</t>
  </si>
  <si>
    <t xml:space="preserve">Site Work</t>
  </si>
  <si>
    <t xml:space="preserve">0210</t>
  </si>
  <si>
    <t xml:space="preserve">Footing And Foundation</t>
  </si>
  <si>
    <t xml:space="preserve">Form and pour concrete footings and foundation walls per the structural drawings and IRC, including rebar, anchor bolts, and hold-downs. Includes footing/perimeter drain, damp-proofing of below-grade walls, and under-slab vapor barrier where slabs occur. Pricing is based on the current drawings; additional steps, taller walls, or engineered changes are billed as a change.</t>
  </si>
  <si>
    <t xml:space="preserve">0300</t>
  </si>
  <si>
    <t xml:space="preserve">Rough Structure</t>
  </si>
  <si>
    <t xml:space="preserve">0310</t>
  </si>
  <si>
    <t xml:space="preserve">Framing Materials   (Allowance)</t>
  </si>
  <si>
    <t xml:space="preserve">All lumber and framing materials sized and spaced per the approved construction drawings; lumber to be #2 or better, kiln-dried. Floor sheathing 1‑1/8″ Edge Gold T&amp;G OSB; wall and roof sheathing 7/16″ OSB with H-clips where applicable. Floor framing engineered I-joist or per plan; roof trusses/rafters per plan with vaults as drawn. Includes structural connectors, hangers, hold-downs, and fasteners.</t>
  </si>
  <si>
    <t xml:space="preserve">0320</t>
  </si>
  <si>
    <t xml:space="preserve">Framing Labor</t>
  </si>
  <si>
    <t xml:space="preserve">Construct the rough structure per the plans and engineering: floor system, walls, roof structure, and wall/roof sheathing. Includes setting exterior doors and windows, installing structural hardware, and providing solid backing for cabinets, railings, and bath fixtures. Includes shear-nail and framing inspections.</t>
  </si>
  <si>
    <t xml:space="preserve">0400</t>
  </si>
  <si>
    <t xml:space="preserve">Windows &amp; Doors, Exterior</t>
  </si>
  <si>
    <t xml:space="preserve">0410</t>
  </si>
  <si>
    <t xml:space="preserve">Front Door   (Allowance)</t>
  </si>
  <si>
    <t xml:space="preserve">Entry door per the drawings — allowance covers the door slab/unit, jamb, weatherstripping, and exterior hardware/lockset. Sample: 3/0 × 8/0 knotty alder. Decorative glass or custom sizes may affect the allowance.</t>
  </si>
  <si>
    <t xml:space="preserve">0420</t>
  </si>
  <si>
    <t xml:space="preserve">Other exterior doors</t>
  </si>
  <si>
    <t xml:space="preserve">Remaining exterior doors per plan (e.g., man-doors, patio/utility), including jambs, weatherstripping, and hardware. Sliding/French patio doors are itemized under Windows.</t>
  </si>
  <si>
    <t xml:space="preserve">0430</t>
  </si>
  <si>
    <t xml:space="preserve">Garage Doors</t>
  </si>
  <si>
    <t xml:space="preserve">Garage door(s) sized and quantity per plan. Spec: Clopay Bridgeport, steel, 2-layer insulated (R-6.3), white — e.g., 18′×8′. Includes track, springs, weather seal, and opener(s) with two remotes and exterior keypad (confirm opener count = door count).</t>
  </si>
  <si>
    <t xml:space="preserve">0440</t>
  </si>
  <si>
    <t xml:space="preserve">Windows   (Allowance)</t>
  </si>
  <si>
    <t xml:space="preserve">Windows per plan — Milgard vinyl, white standard (other colors available at added cost). Includes Low-E / argon insulated glass, screens, and tempered glass where required by code (near doors, in wet areas, large/low units). Includes sliding glass door(s) per plan. Egress windows sized per code at sleeping rooms.</t>
  </si>
  <si>
    <t xml:space="preserve">0500</t>
  </si>
  <si>
    <t xml:space="preserve">Exterior Finishes</t>
  </si>
  <si>
    <t xml:space="preserve">0510</t>
  </si>
  <si>
    <t xml:space="preserve">Siding Materials</t>
  </si>
  <si>
    <t xml:space="preserve">Fiber-cement lap siding (Hardie), 7″ reveal; finger-joint primed cypress trim at corners and windows; primed cypress fascia/barge; cedar tongue-and-groove porch ceilings; LP soffits. Includes weather-resistive barrier (house wrap) and flashing/trim accessories.</t>
  </si>
  <si>
    <t xml:space="preserve">0520</t>
  </si>
  <si>
    <t xml:space="preserve">Siding Labor</t>
  </si>
  <si>
    <t xml:space="preserve">Install the weather-resistive barrier, window/door flashing, exterior trim, siding, soffits, and post wraps per the drawings, including all caulking and sealing.</t>
  </si>
  <si>
    <t xml:space="preserve">0530</t>
  </si>
  <si>
    <t xml:space="preserve">Roofing Specifications   (Allowance)</t>
  </si>
  <si>
    <t xml:space="preserve">30-year architectural composition shingles over synthetic underlayment, with ice-and-water shield at eaves/valleys, drip edge, step/counter flashing, and ridge ventilation. Pipe boots and roof penetrations flashed and sealed. Color per owner selection.</t>
  </si>
  <si>
    <t xml:space="preserve">0540</t>
  </si>
  <si>
    <t xml:space="preserve">Gutters</t>
  </si>
  <si>
    <t xml:space="preserve">5″ K-style seamless aluminum gutters with downspouts, white standard (colors available; paintable to match trim). Includes hangers and splash blocks; downspouts discharged to daylight or drains per grade.</t>
  </si>
  <si>
    <t xml:space="preserve">0550</t>
  </si>
  <si>
    <t xml:space="preserve">Exterior Masonry</t>
  </si>
  <si>
    <t xml:space="preserve">Manufactured (cultured) stone veneer at locations shown — includes lath, scratch coat, stone, and sealing. *(Currently $0 — confirm scope/locations.)*</t>
  </si>
  <si>
    <t xml:space="preserve">0560</t>
  </si>
  <si>
    <t xml:space="preserve">Exterior Painting</t>
  </si>
  <si>
    <t xml:space="preserve">Two coats exterior latex on all trim and siding — one color per siding type and one trim color. Exposed natural wood receives one coat semi-transparent sealer. Includes surface prep and caulking touch-up.</t>
  </si>
  <si>
    <t xml:space="preserve">0570</t>
  </si>
  <si>
    <t xml:space="preserve">Concrete Flatwork   (Allowance)</t>
  </si>
  <si>
    <t xml:space="preserve">Exterior flatwork per plan — driveway apron, front patio, and walkways. Minimum 3.5″ thick, 3,000 psi concrete over a compacted gravel base, with fiber/wire reinforcement, control joints, and a broom finish. Confirm driveway scope (full vs. apron only).</t>
  </si>
  <si>
    <t xml:space="preserve">0600</t>
  </si>
  <si>
    <t xml:space="preserve">HVAC</t>
  </si>
  <si>
    <t xml:space="preserve">0610</t>
  </si>
  <si>
    <t xml:space="preserve">Complete heating and cooling system per plan, sized per a Manual J load calc — equipment, supply/return ductwork, registers, and programmable thermostat(s). Includes whole-house ventilation, bath exhaust fans, range-hood and dryer venting to exterior. Confirm system type (heat pump / gas furnace + AC) and number of zones.</t>
  </si>
  <si>
    <t xml:space="preserve">0620</t>
  </si>
  <si>
    <t xml:space="preserve">Fireplace   (Allowance)</t>
  </si>
  <si>
    <t xml:space="preserve">Gas fireplace insert/unit per plan and owner selection, including direct-vent termination and install. Gas line to the unit is provided under Plumbing. Surround, mantel, and hearth finish are under Interior Masonry (1160).</t>
  </si>
  <si>
    <t xml:space="preserve">0700</t>
  </si>
  <si>
    <t xml:space="preserve">Plumbing</t>
  </si>
  <si>
    <t xml:space="preserve">0710</t>
  </si>
  <si>
    <t xml:space="preserve">Plumbing   (Allowance)</t>
  </si>
  <si>
    <t xml:space="preserve">Complete plumbing system per code: PVC DWV drainage, PEX water distribution, two frost-proof exterior hose bibs, and fixtures/trim per plan. Includes water heater, pressure-reducing valve, and gas piping to furnace, water heater, fireplace, range, and dryer as applicable. Confirm water heater type (tank vs. tankless) and fixture allowance.</t>
  </si>
  <si>
    <t xml:space="preserve">0800</t>
  </si>
  <si>
    <t xml:space="preserve">Electrical</t>
  </si>
  <si>
    <t xml:space="preserve">0810</t>
  </si>
  <si>
    <t xml:space="preserve">Electrical   (Allowance)</t>
  </si>
  <si>
    <t xml:space="preserve">Complete electrical per plan: 200A panel and meter, branch wiring, and all 240V circuits for listed appliances. Standard lighting layout — recessed cans in kitchen, dining, master, and covered porches; surface fixtures elsewhere; white tamper-resistant devices and rocker switches; white LED trims on cans. Includes smoke/CO detectors per code, exterior GFCI outlets, and bath/kitchen GFCI/AFCI protection. Surface-mount fixtures are owner-provided (see 0720); installation is included.</t>
  </si>
  <si>
    <t xml:space="preserve">0820</t>
  </si>
  <si>
    <t xml:space="preserve">Electrical Fixtures   (Allowance)</t>
  </si>
  <si>
    <t xml:space="preserve">Decorative/surface-mount fixtures — ceiling fans, dome lights, chandeliers, pendants, sconces, vanity lights, outdoor lanterns, and security lights — are owner-provided. Builder installs owner-supplied fixtures (labor included under Electrical). Provide fixtures on site before trim-out.</t>
  </si>
  <si>
    <t xml:space="preserve">0900</t>
  </si>
  <si>
    <t xml:space="preserve">Insulation</t>
  </si>
  <si>
    <t xml:space="preserve">0910</t>
  </si>
  <si>
    <t xml:space="preserve">R-23 blown-in blanket (BIBS) in exterior walls, R-60 blown insulation at flat ceilings/attic, and R-38 in the crawl space where accessible. Includes air-sealing of penetrations, attic baffles for ventilation, and a vapor retarder per code/climate zone.</t>
  </si>
  <si>
    <t xml:space="preserve">1000</t>
  </si>
  <si>
    <t xml:space="preserve">Interior Wall &amp; Ceiling Finishes</t>
  </si>
  <si>
    <t xml:space="preserve">1010</t>
  </si>
  <si>
    <t xml:space="preserve">Drywall</t>
  </si>
  <si>
    <t xml:space="preserve">1/2″ gypsum board throughout — orange-peel texture on walls, machine brocade on ceilings; square, bullnose, or baby-bullnose corners per selection; 3-way drywall wrap at windows with sill trim. Moisture-resistant board at wet areas and 5/8″ Type-X at the garage/house separation per code.</t>
  </si>
  <si>
    <t xml:space="preserve">1020</t>
  </si>
  <si>
    <t xml:space="preserve">Interior Paint</t>
  </si>
  <si>
    <t xml:space="preserve">Prime, then spray and back-roll two finish coats — up to two wall colors, one ceiling color, and one trim color. Includes patch/prep and final touch-up after trim and flooring.</t>
  </si>
  <si>
    <t xml:space="preserve">1030</t>
  </si>
  <si>
    <t xml:space="preserve">Interior Paint Color(s)</t>
  </si>
  <si>
    <t xml:space="preserve">Owner color selections recorded here (no separate cost). Final selections due before paint to hold schedule.</t>
  </si>
  <si>
    <t xml:space="preserve">1040</t>
  </si>
  <si>
    <t xml:space="preserve">Bathroom accessories and mirrors   (Allowance)</t>
  </si>
  <si>
    <t xml:space="preserve">Allowance for bath accessories — toilet-paper holders, towel rings/bars, robe hooks, and vanity mirrors — one set per bathroom. Builder installs owner selections.</t>
  </si>
  <si>
    <t xml:space="preserve">1050</t>
  </si>
  <si>
    <t xml:space="preserve">Masonry - Fireplace facade   (Allowance)</t>
  </si>
  <si>
    <t xml:space="preserve">Cultured-stone facade on the fireplace wall, including lath, scratch coat, stone, and a wood mantel. *(Currently $0 — confirm scope/height.)*</t>
  </si>
  <si>
    <t xml:space="preserve">1100</t>
  </si>
  <si>
    <t xml:space="preserve">Flooring</t>
  </si>
  <si>
    <t xml:space="preserve">1110</t>
  </si>
  <si>
    <t xml:space="preserve">Flooring Labor   (Allowance)</t>
  </si>
  <si>
    <t xml:space="preserve">Install owner-selected flooring throughout — includes subfloor prep, underlayment/pad, moisture barrier, transitions, and grout/sealants. Tile wet areas include waterproofing and shower pan/curb where applicable. Quantities: LVT/laminate ~1,400 sf, tile ~400 sf (adjust to final selections).</t>
  </si>
  <si>
    <t xml:space="preserve">1120</t>
  </si>
  <si>
    <t xml:space="preserve">Flooring material   (Allowance)</t>
  </si>
  <si>
    <t xml:space="preserve">Owner flooring material allowance — final selections (LVT/laminate, tile, carpet) recorded here. Selections due before the flooring phase to hold schedule and lock pricing.</t>
  </si>
  <si>
    <t xml:space="preserve">1200</t>
  </si>
  <si>
    <t xml:space="preserve">Woodwork/Cabinets/Millwork</t>
  </si>
  <si>
    <t xml:space="preserve">1210</t>
  </si>
  <si>
    <t xml:space="preserve">Millwork</t>
  </si>
  <si>
    <t xml:space="preserve">Trim package: 5-1/2″ primed FJ baseboard; 3-1/2″ primed FJ door casing (mitered); primed FJ window sill and apron; custom closet shelving and rods. Paint-grade interior doors (6 standard styles, more available); solid-core doors at bathrooms and bedrooms. Includes door hardware (hinges, levers, stops) — finish per selection.</t>
  </si>
  <si>
    <t xml:space="preserve">1220</t>
  </si>
  <si>
    <t xml:space="preserve">Finish Carpentry</t>
  </si>
  <si>
    <t xml:space="preserve">Install all interior trim — baseboard, door casing, window surrounds, interior doors and hardware, stair railing/balustrade, and closet shelving/rods. Caulk and fill ready for paint.</t>
  </si>
  <si>
    <t xml:space="preserve">1230</t>
  </si>
  <si>
    <t xml:space="preserve">Cabinet Specifications   (Allowance)</t>
  </si>
  <si>
    <t xml:space="preserve">Supply and install owner-selected cabinetry per plan — kitchen, baths, and any butler's pantry — including cabinet hardware and interior accessories. Allowance is based on preliminary plans and includes cabinets, hardware, accessories, tax, delivery, and installation. Countertops are itemized separately (1340).</t>
  </si>
  <si>
    <t xml:space="preserve">1240</t>
  </si>
  <si>
    <t xml:space="preserve">Countertops   (Allowance)</t>
  </si>
  <si>
    <t xml:space="preserve">Hard-surface countertop allowance — kitchen, island, select bath vanities, and laundry; 3 cm quartz/granite slab. Includes templating, fabrication, edge profile, sink/cooktop cutouts, and installation. Tile backsplash included per the line item.</t>
  </si>
  <si>
    <t xml:space="preserve">1300</t>
  </si>
  <si>
    <t xml:space="preserve">Appliances/Equipment</t>
  </si>
  <si>
    <t xml:space="preserve">1310</t>
  </si>
  <si>
    <t xml:space="preserve">Appliance Specifications</t>
  </si>
  <si>
    <t xml:space="preserve">Optional appliance allowance — dishwasher, range, and refrigerator — included when required for financing. Builder coordinates delivery and hookup (electrical/plumbing/gas connections by the respective trades). Owner-supplied appliances must be on site before trim-out.</t>
  </si>
  <si>
    <t xml:space="preserve">1320</t>
  </si>
  <si>
    <t xml:space="preserve">Window Coverings   (Allowance)</t>
  </si>
  <si>
    <t xml:space="preserve">Allowance for window coverings — blinds or shades at windows per owner selection, measured and installed. Motorized or specialty treatments may affect the allowance.</t>
  </si>
  <si>
    <t xml:space="preserve">1500</t>
  </si>
  <si>
    <t xml:space="preserve">Final Grade &amp; Site</t>
  </si>
  <si>
    <t xml:space="preserve">1510</t>
  </si>
  <si>
    <t xml:space="preserve">Final Grade &amp; Landscaping</t>
  </si>
  <si>
    <t xml:space="preserve">Final grading and rough landscaping after construction — spread stockpiled topsoil, rough-grade the lot to drain away from the house, and leave the site ready for the owner’s yard. Seeding, sod, irrigation, and plantings are by owner unless noted.</t>
  </si>
  <si>
    <t xml:space="preserve">ESTIMATE</t>
  </si>
  <si>
    <t xml:space="preserve">INTERNAL — not printed</t>
  </si>
  <si>
    <t xml:space="preserve">Item / Description</t>
  </si>
  <si>
    <t xml:space="preserve">Ext Cost</t>
  </si>
  <si>
    <t xml:space="preserve">Sales Tax</t>
  </si>
  <si>
    <t xml:space="preserve">Line Total</t>
  </si>
  <si>
    <t xml:space="preserve">Category / Item Total</t>
  </si>
  <si>
    <t xml:space="preserve">My Cost</t>
  </si>
  <si>
    <t xml:space="preserve">Markup</t>
  </si>
  <si>
    <t xml:space="preserve">Tax?</t>
  </si>
  <si>
    <t xml:space="preserve">Allow?</t>
  </si>
  <si>
    <t xml:space="preserve">Excl?</t>
  </si>
  <si>
    <t xml:space="preserve">Suggested $</t>
  </si>
  <si>
    <t xml:space="preserve">Logic / basis</t>
  </si>
  <si>
    <t xml:space="preserve">Sched?</t>
  </si>
  <si>
    <t xml:space="preserve">Y</t>
  </si>
  <si>
    <t xml:space="preserve">Bldg. Permit</t>
  </si>
  <si>
    <t xml:space="preserve">N</t>
  </si>
  <si>
    <t xml:space="preserve">Prior project basis / lump sum - confirm with sub</t>
  </si>
  <si>
    <t xml:space="preserve">PUD Quoted install</t>
  </si>
  <si>
    <t xml:space="preserve">Gas service connection</t>
  </si>
  <si>
    <t xml:space="preserve">Allowance - gas tap/meter; confirm provider</t>
  </si>
  <si>
    <t xml:space="preserve">Excavation</t>
  </si>
  <si>
    <t xml:space="preserve">Excavation - utilities &amp; contingency</t>
  </si>
  <si>
    <t xml:space="preserve">Backfill - Labor</t>
  </si>
  <si>
    <t xml:space="preserve">Backfill - Gravel and fill</t>
  </si>
  <si>
    <t xml:space="preserve">Septic system install - Pressure distribution</t>
  </si>
  <si>
    <t xml:space="preserve">Septic design</t>
  </si>
  <si>
    <t xml:space="preserve">Septic permit</t>
  </si>
  <si>
    <t xml:space="preserve">Well</t>
  </si>
  <si>
    <t xml:space="preserve">Owner-provided / allowance - set as needed</t>
  </si>
  <si>
    <t xml:space="preserve">Home Cleaning @ Final</t>
  </si>
  <si>
    <t xml:space="preserve">Portable toilet</t>
  </si>
  <si>
    <t xml:space="preserve">Dumping fees / site cleanup</t>
  </si>
  <si>
    <t xml:space="preserve">Foundation Labor/concrete</t>
  </si>
  <si>
    <t xml:space="preserve">Foundation CY (perim x ht x 0.67 /27, round up 5 yd) x $440/yd</t>
  </si>
  <si>
    <t xml:space="preserve">Pump Truck</t>
  </si>
  <si>
    <t xml:space="preserve">Materials - 1st floor - 9.5" TJI</t>
  </si>
  <si>
    <t xml:space="preserve">From Material Takeoff: foundation &amp; floor framing material</t>
  </si>
  <si>
    <t xml:space="preserve">Exterior Walls 9' PLT HT</t>
  </si>
  <si>
    <t xml:space="preserve">From Material Takeoff: wall framing material</t>
  </si>
  <si>
    <t xml:space="preserve">Materials - Roof pack</t>
  </si>
  <si>
    <t xml:space="preserve">From Material Takeoff: roof framing &amp; trim material</t>
  </si>
  <si>
    <t xml:space="preserve">Materials - Trusses</t>
  </si>
  <si>
    <t xml:space="preserve">Beams - hardware - Posts</t>
  </si>
  <si>
    <t xml:space="preserve">Framing labor - living space</t>
  </si>
  <si>
    <t xml:space="preserve">Living SF x $12/sf framing labor</t>
  </si>
  <si>
    <t xml:space="preserve">Framing labor - Covered porch/Garage</t>
  </si>
  <si>
    <t xml:space="preserve">(Garage+porch) SF x $9/sf framing labor</t>
  </si>
  <si>
    <t xml:space="preserve">Front door 3080 - Knotty Alder</t>
  </si>
  <si>
    <t xml:space="preserve">Exterior doors</t>
  </si>
  <si>
    <t xml:space="preserve">Ext doors qty x $650 ea</t>
  </si>
  <si>
    <t xml:space="preserve">18*8</t>
  </si>
  <si>
    <t xml:space="preserve">Garage doors qty x $1,500 ea</t>
  </si>
  <si>
    <t xml:space="preserve">Garage Door openers</t>
  </si>
  <si>
    <t xml:space="preserve">Garage doors qty x $450 opener ea</t>
  </si>
  <si>
    <t xml:space="preserve">Windows</t>
  </si>
  <si>
    <t xml:space="preserve">Windows qty x $380 ea</t>
  </si>
  <si>
    <t xml:space="preserve">SGD (sliding glass door)</t>
  </si>
  <si>
    <t xml:space="preserve">Sliding doors qty x $2,200 ea</t>
  </si>
  <si>
    <t xml:space="preserve">Siding materials package</t>
  </si>
  <si>
    <t xml:space="preserve">Material Takeoff siding + gable (Settings) x $5.50/sf</t>
  </si>
  <si>
    <t xml:space="preserve">Siding labor - 7" horizontal</t>
  </si>
  <si>
    <t xml:space="preserve">Exterior wall + gable SF x $4/sf siding labor</t>
  </si>
  <si>
    <t xml:space="preserve">Siding labor - Soffits</t>
  </si>
  <si>
    <t xml:space="preserve">Siding labor - Post wraps</t>
  </si>
  <si>
    <t xml:space="preserve">Roofing Material</t>
  </si>
  <si>
    <t xml:space="preserve">Roof area (footprint x1.4) /100 sq x $425/sq material</t>
  </si>
  <si>
    <t xml:space="preserve">Roofing Labor</t>
  </si>
  <si>
    <t xml:space="preserve">Roof squares (footprint x1.4) x $250/sq labor</t>
  </si>
  <si>
    <t xml:space="preserve">Eave length ~ perimeter x $6/lf</t>
  </si>
  <si>
    <t xml:space="preserve">Cultured stone</t>
  </si>
  <si>
    <t xml:space="preserve">Exterior Painting Material &amp; Labor</t>
  </si>
  <si>
    <t xml:space="preserve">Exterior wall + gable SF x $1.60/sf paint</t>
  </si>
  <si>
    <t xml:space="preserve">Driveway</t>
  </si>
  <si>
    <t xml:space="preserve">Driveway length x 11 ft x $7/sf</t>
  </si>
  <si>
    <t xml:space="preserve">Exterior concrete patio &amp; walkway</t>
  </si>
  <si>
    <t xml:space="preserve">Exterior concrete SF x $6/sf</t>
  </si>
  <si>
    <t xml:space="preserve">Garage slab</t>
  </si>
  <si>
    <t xml:space="preserve">Garage SF x $6/sf slab</t>
  </si>
  <si>
    <t xml:space="preserve">HVAC system</t>
  </si>
  <si>
    <t xml:space="preserve">Living SF x $9.50/sf complete HVAC</t>
  </si>
  <si>
    <t xml:space="preserve">Fireplace - install only + stove pipe parts</t>
  </si>
  <si>
    <t xml:space="preserve">Plumbing quote complete</t>
  </si>
  <si>
    <t xml:space="preserve">Living SF x $9.75/sf (or by fixture count)</t>
  </si>
  <si>
    <t xml:space="preserve">Electrical System</t>
  </si>
  <si>
    <t xml:space="preserve">Living SF x $11.70/sf electrical</t>
  </si>
  <si>
    <t xml:space="preserve">Low-voltage rough-in (data / cable / TV)</t>
  </si>
  <si>
    <t xml:space="preserve">Allowance - data/cable/TV drops</t>
  </si>
  <si>
    <t xml:space="preserve">EV charger circuit (rough-in)</t>
  </si>
  <si>
    <t xml:space="preserve">Allowance - 240V EV rough-in</t>
  </si>
  <si>
    <t xml:space="preserve">Fixture allowance</t>
  </si>
  <si>
    <t xml:space="preserve">Walls SFx$2.25 + ceiling(living SF)x$1.50</t>
  </si>
  <si>
    <t xml:space="preserve">Drywall, hang, tape, texture</t>
  </si>
  <si>
    <t xml:space="preserve">Living SF x 3.5 (drywall area factor) x $2.10/sf</t>
  </si>
  <si>
    <t xml:space="preserve">Interior wall/ceiling/trim painting</t>
  </si>
  <si>
    <t xml:space="preserve">Drywall area (livingx3.5) x $1.10/sf</t>
  </si>
  <si>
    <t xml:space="preserve">Bathroom mirrors</t>
  </si>
  <si>
    <t xml:space="preserve">TP holders, towel rod, towel ring per bath</t>
  </si>
  <si>
    <t xml:space="preserve">Stone</t>
  </si>
  <si>
    <t xml:space="preserve">Wood Mantel</t>
  </si>
  <si>
    <t xml:space="preserve">LVT/Laminate</t>
  </si>
  <si>
    <t xml:space="preserve">Remaining floor SF x $2.50/sf LVT labor</t>
  </si>
  <si>
    <t xml:space="preserve">Tile (install)</t>
  </si>
  <si>
    <t xml:space="preserve">Tile area SF x $10/sf labor</t>
  </si>
  <si>
    <t xml:space="preserve">Shower pan / tile waterproofing</t>
  </si>
  <si>
    <t xml:space="preserve">Allowance per shower</t>
  </si>
  <si>
    <t xml:space="preserve">Shower glass enclosure</t>
  </si>
  <si>
    <t xml:space="preserve">Allowance per glass enclosure</t>
  </si>
  <si>
    <t xml:space="preserve">Tile Selection</t>
  </si>
  <si>
    <t xml:space="preserve">Tile area SF x $5/sf material allowance</t>
  </si>
  <si>
    <t xml:space="preserve">Remaining floor SF x $4/sf material allowance</t>
  </si>
  <si>
    <t xml:space="preserve">Interior trim pack</t>
  </si>
  <si>
    <t xml:space="preserve">Living SF x $2.50/sf trim package material</t>
  </si>
  <si>
    <t xml:space="preserve">Finish labor</t>
  </si>
  <si>
    <t xml:space="preserve">Living SF x $2.50/sf finish carpentry labor</t>
  </si>
  <si>
    <t xml:space="preserve">Supply and install cabinets complete</t>
  </si>
  <si>
    <t xml:space="preserve">Kitchen run x $350/lf (upper+lower) + baths</t>
  </si>
  <si>
    <t xml:space="preserve">Countertops - Group B</t>
  </si>
  <si>
    <t xml:space="preserve">Kitchen run x 2.1 sf/lf x $65/sf quartz</t>
  </si>
  <si>
    <t xml:space="preserve">Backsplash - Tile</t>
  </si>
  <si>
    <t xml:space="preserve">Kitchen run x 1.5 sf/lf x $25/sf backsplash</t>
  </si>
  <si>
    <t xml:space="preserve">Appliance purchase - delivery - install</t>
  </si>
  <si>
    <t xml:space="preserve">Window coverings / blinds allowance</t>
  </si>
  <si>
    <t xml:space="preserve">Windows qty x $180 ea blinds allowance</t>
  </si>
  <si>
    <t xml:space="preserve">Final grade and rough landscaping</t>
  </si>
  <si>
    <t xml:space="preserve">Allowance - spread topsoil + rough grade</t>
  </si>
  <si>
    <t xml:space="preserve">TOTALS</t>
  </si>
  <si>
    <t xml:space="preserve">Your cost</t>
  </si>
  <si>
    <t xml:space="preserve">Ext (after markup, pre-tax)</t>
  </si>
  <si>
    <t xml:space="preserve">Markup $</t>
  </si>
  <si>
    <t xml:space="preserve">Margin %</t>
  </si>
  <si>
    <t xml:space="preserve">GRAND TOTAL</t>
  </si>
  <si>
    <t xml:space="preserve">Price per sq ft</t>
  </si>
  <si>
    <t xml:space="preserve">ALLOWANCES</t>
  </si>
  <si>
    <t xml:space="preserve">Items toggled Allow? = Y on the Estimate. Enter the actual selected cost to track budget vs. spend.</t>
  </si>
  <si>
    <t xml:space="preserve">Category</t>
  </si>
  <si>
    <t xml:space="preserve">Item</t>
  </si>
  <si>
    <t xml:space="preserve">Allowance $</t>
  </si>
  <si>
    <t xml:space="preserve">Actual $</t>
  </si>
  <si>
    <t xml:space="preserve">Variance</t>
  </si>
  <si>
    <t xml:space="preserve">Notes</t>
  </si>
  <si>
    <t xml:space="preserve">Permits</t>
  </si>
  <si>
    <t xml:space="preserve">Electrical Utility Connections</t>
  </si>
  <si>
    <t xml:space="preserve">Septic system design &amp; install</t>
  </si>
  <si>
    <t xml:space="preserve">Well setup</t>
  </si>
  <si>
    <t xml:space="preserve">Framing Materials</t>
  </si>
  <si>
    <t xml:space="preserve">Front Door</t>
  </si>
  <si>
    <t xml:space="preserve">Roofing Specifications</t>
  </si>
  <si>
    <t xml:space="preserve">Concrete Flatwork</t>
  </si>
  <si>
    <t xml:space="preserve">Fireplace</t>
  </si>
  <si>
    <t xml:space="preserve">Electrical Fixtures</t>
  </si>
  <si>
    <t xml:space="preserve">Bathroom accessories and mirrors</t>
  </si>
  <si>
    <t xml:space="preserve">Masonry - Fireplace facade</t>
  </si>
  <si>
    <t xml:space="preserve">Flooring Labor</t>
  </si>
  <si>
    <t xml:space="preserve">Flooring material</t>
  </si>
  <si>
    <t xml:space="preserve">Cabinet Specifications</t>
  </si>
  <si>
    <t xml:space="preserve">Countertops</t>
  </si>
  <si>
    <t xml:space="preserve">Window Coverings</t>
  </si>
  <si>
    <t xml:space="preserve">TOTAL ALLOWANCES</t>
  </si>
  <si>
    <t xml:space="preserve">PROJECT SCHEDULE   (one line per estimate item — add the items below as each job needs them)</t>
  </si>
  <si>
    <t xml:space="preserve">ID</t>
  </si>
  <si>
    <t xml:space="preserve">Task</t>
  </si>
  <si>
    <t xml:space="preserve">Dur</t>
  </si>
  <si>
    <t xml:space="preserve">Start</t>
  </si>
  <si>
    <t xml:space="preserve">Finish</t>
  </si>
  <si>
    <t xml:space="preserve">Pred</t>
  </si>
  <si>
    <t xml:space="preserve">Anchor</t>
  </si>
  <si>
    <t xml:space="preserve">Status</t>
  </si>
  <si>
    <t xml:space="preserve">% Done</t>
  </si>
  <si>
    <t xml:space="preserve">0110  Permits</t>
  </si>
  <si>
    <t xml:space="preserve">0120  Electrical Utility Connections</t>
  </si>
  <si>
    <t xml:space="preserve">0130  Excavation</t>
  </si>
  <si>
    <t xml:space="preserve">0140  Septic system design &amp; install</t>
  </si>
  <si>
    <t xml:space="preserve">0210  Footing And Foundation</t>
  </si>
  <si>
    <t xml:space="preserve">0310  Framing Materials</t>
  </si>
  <si>
    <t xml:space="preserve">0320  Framing Labor</t>
  </si>
  <si>
    <t xml:space="preserve">0410  Front Door</t>
  </si>
  <si>
    <t xml:space="preserve">0420  Other exterior doors</t>
  </si>
  <si>
    <t xml:space="preserve">0430  Garage Doors</t>
  </si>
  <si>
    <t xml:space="preserve">0440  Windows</t>
  </si>
  <si>
    <t xml:space="preserve">0510  Siding Materials</t>
  </si>
  <si>
    <t xml:space="preserve">0520  Siding Labor</t>
  </si>
  <si>
    <t xml:space="preserve">0530  Roofing Specifications</t>
  </si>
  <si>
    <t xml:space="preserve">0540  Gutters</t>
  </si>
  <si>
    <t xml:space="preserve">0560  Exterior Painting</t>
  </si>
  <si>
    <t xml:space="preserve">0570  Concrete Flatwork</t>
  </si>
  <si>
    <t xml:space="preserve">0610  HVAC</t>
  </si>
  <si>
    <t xml:space="preserve">0620  Fireplace</t>
  </si>
  <si>
    <t xml:space="preserve">0710  Plumbing</t>
  </si>
  <si>
    <t xml:space="preserve">0810  Electrical</t>
  </si>
  <si>
    <t xml:space="preserve">0910  Insulation</t>
  </si>
  <si>
    <t xml:space="preserve">1010  Drywall</t>
  </si>
  <si>
    <t xml:space="preserve">1020  Interior Paint</t>
  </si>
  <si>
    <t xml:space="preserve">1040  Bathroom accessories and mirrors</t>
  </si>
  <si>
    <t xml:space="preserve">1110  Flooring Labor</t>
  </si>
  <si>
    <t xml:space="preserve">1210  Millwork</t>
  </si>
  <si>
    <t xml:space="preserve">1220  Finish Carpentry</t>
  </si>
  <si>
    <t xml:space="preserve">1230  Cabinet Specifications</t>
  </si>
  <si>
    <t xml:space="preserve">1240  Countertops</t>
  </si>
  <si>
    <t xml:space="preserve">1510  Final Grade &amp; Landscaping</t>
  </si>
  <si>
    <t xml:space="preserve">PROJECT CALENDAR   (auto from the Schedule — shaded = work happening; label = task starting that day)</t>
  </si>
  <si>
    <t xml:space="preserve">Week of</t>
  </si>
  <si>
    <t xml:space="preserve">Mon</t>
  </si>
  <si>
    <t xml:space="preserve">Tue</t>
  </si>
  <si>
    <t xml:space="preserve">Wed</t>
  </si>
  <si>
    <t xml:space="preserve">Thu</t>
  </si>
  <si>
    <t xml:space="preserve">Fri</t>
  </si>
  <si>
    <t xml:space="preserve">Sat</t>
  </si>
  <si>
    <t xml:space="preserve">Sun</t>
  </si>
  <si>
    <t xml:space="preserve">EXCLUSIONS</t>
  </si>
  <si>
    <t xml:space="preserve">Lines toggled Excl? = Y on the Estimate are excluded (cost zeroed) and collected here for reference.</t>
  </si>
  <si>
    <t xml:space="preserve">Excluded line</t>
  </si>
  <si>
    <t xml:space="preserve">Value</t>
  </si>
  <si>
    <t xml:space="preserve">TOTAL EXCLUDED VALUE</t>
  </si>
  <si>
    <t xml:space="preserve">DRAW SCHEDULE</t>
  </si>
  <si>
    <t xml:space="preserve">Contract</t>
  </si>
  <si>
    <t xml:space="preserve">Draw 1</t>
  </si>
  <si>
    <t xml:space="preserve">Draw 2</t>
  </si>
  <si>
    <t xml:space="preserve">Draw 3</t>
  </si>
  <si>
    <t xml:space="preserve">Draw 4</t>
  </si>
  <si>
    <t xml:space="preserve">Draw 5</t>
  </si>
  <si>
    <t xml:space="preserve">Final Draw</t>
  </si>
  <si>
    <t xml:space="preserve">Total Drawn</t>
  </si>
  <si>
    <t xml:space="preserve">Remaining</t>
  </si>
  <si>
    <t xml:space="preserve">% Billed</t>
  </si>
  <si>
    <t xml:space="preserve">Draw date:</t>
  </si>
  <si>
    <t xml:space="preserve">CHANGE ORDERS</t>
  </si>
  <si>
    <t xml:space="preserve">PROJECT FINANCE</t>
  </si>
  <si>
    <t xml:space="preserve">#</t>
  </si>
  <si>
    <t xml:space="preserve">Description</t>
  </si>
  <si>
    <t xml:space="preserve">Amount</t>
  </si>
  <si>
    <t xml:space="preserve">Original Contract</t>
  </si>
  <si>
    <t xml:space="preserve">CO1</t>
  </si>
  <si>
    <t xml:space="preserve">Change Orders (+)</t>
  </si>
  <si>
    <t xml:space="preserve">CO2</t>
  </si>
  <si>
    <t xml:space="preserve">Adjusted Contract</t>
  </si>
  <si>
    <t xml:space="preserve">CO3</t>
  </si>
  <si>
    <t xml:space="preserve">Total Drawn to date</t>
  </si>
  <si>
    <t xml:space="preserve">CO4</t>
  </si>
  <si>
    <t xml:space="preserve">Paid by Owner Direct</t>
  </si>
  <si>
    <t xml:space="preserve">CO5</t>
  </si>
  <si>
    <t xml:space="preserve">Remaining Balance</t>
  </si>
  <si>
    <t xml:space="preserve">CO6</t>
  </si>
  <si>
    <t xml:space="preserve">CO7</t>
  </si>
  <si>
    <t xml:space="preserve">CO8</t>
  </si>
  <si>
    <t xml:space="preserve">Change Order Total</t>
  </si>
  <si>
    <t xml:space="preserve">APPROVALS &amp; ACKNOWLEDGEMENT</t>
  </si>
  <si>
    <t xml:space="preserve">Contractor — Ridgeline Construction</t>
  </si>
  <si>
    <t xml:space="preserve">Date:</t>
  </si>
  <si>
    <t xml:space="preserve">Signature</t>
  </si>
  <si>
    <t xml:space="preserve">Date</t>
  </si>
  <si>
    <t xml:space="preserve">Owner / Client</t>
  </si>
  <si>
    <t xml:space="preserve">Lender / Inspector (if required)</t>
  </si>
  <si>
    <t xml:space="preserve">MATERIAL LIST  -  No pricing on this tab  |  Col H shows formula logic (excluded from print)</t>
  </si>
  <si>
    <t xml:space="preserve">JOB INFORMATION</t>
  </si>
  <si>
    <t xml:space="preserve">KEY DIMENSIONS  (yellow = enter here)</t>
  </si>
  <si>
    <t xml:space="preserve">Job Name:</t>
  </si>
  <si>
    <t xml:space="preserve">Ext. Wall Lineal Ft:</t>
  </si>
  <si>
    <t xml:space="preserve">Client Name:</t>
  </si>
  <si>
    <t xml:space="preserve">Ext. Wall Sq Ft:</t>
  </si>
  <si>
    <t xml:space="preserve">Job Address:</t>
  </si>
  <si>
    <t xml:space="preserve">Roof Sq Ft:</t>
  </si>
  <si>
    <t xml:space="preserve">Living Sq Ft:</t>
  </si>
  <si>
    <t xml:space="preserve">Estimator:</t>
  </si>
  <si>
    <t xml:space="preserve">Deck Sq Ft:</t>
  </si>
  <si>
    <t xml:space="preserve">Concrete Slab Sq Ft:</t>
  </si>
  <si>
    <t xml:space="preserve">Size</t>
  </si>
  <si>
    <t xml:space="preserve">Grade / Species</t>
  </si>
  <si>
    <t xml:space="preserve">Use / Location / Notes</t>
  </si>
  <si>
    <t xml:space="preserve">Qty</t>
  </si>
  <si>
    <t xml:space="preserve">Unit</t>
  </si>
  <si>
    <t xml:space="preserve">Formula Logic  [screen only]</t>
  </si>
  <si>
    <t xml:space="preserve">  FOUNDATION &amp; FLOOR STRUCTURE</t>
  </si>
  <si>
    <t xml:space="preserve">PT sill plate</t>
  </si>
  <si>
    <t xml:space="preserve">2x6 16'</t>
  </si>
  <si>
    <t xml:space="preserve">P.T. pine</t>
  </si>
  <si>
    <t xml:space="preserve">Foundation perimeter sill</t>
  </si>
  <si>
    <t xml:space="preserve">pcs</t>
  </si>
  <si>
    <t xml:space="preserve">EWLF / 16' each</t>
  </si>
  <si>
    <t xml:space="preserve">Sill seal foam</t>
  </si>
  <si>
    <t xml:space="preserve">6in 50'</t>
  </si>
  <si>
    <t xml:space="preserve">foam/fiberglass</t>
  </si>
  <si>
    <t xml:space="preserve">Between sill &amp; concrete</t>
  </si>
  <si>
    <t xml:space="preserve">rolls</t>
  </si>
  <si>
    <t xml:space="preserve">EWLF / 50' per roll</t>
  </si>
  <si>
    <t xml:space="preserve">Sill plate washers</t>
  </si>
  <si>
    <t xml:space="preserve">3x3x1/4in</t>
  </si>
  <si>
    <t xml:space="preserve">galvanized</t>
  </si>
  <si>
    <t xml:space="preserve">Under anchor bolt nuts</t>
  </si>
  <si>
    <t xml:space="preserve">boxes</t>
  </si>
  <si>
    <t xml:space="preserve">EWLF x 2 / 100 per box</t>
  </si>
  <si>
    <t xml:space="preserve">BCI floor joist pkg</t>
  </si>
  <si>
    <t xml:space="preserve">9-1/2in BCI-5000</t>
  </si>
  <si>
    <t xml:space="preserve">engineered</t>
  </si>
  <si>
    <t xml:space="preserve">Floor joists 16" o.c.</t>
  </si>
  <si>
    <t xml:space="preserve">LF</t>
  </si>
  <si>
    <t xml:space="preserve">LSF x 0.80 LF</t>
  </si>
  <si>
    <t xml:space="preserve">T&amp;G OSB subfloor</t>
  </si>
  <si>
    <t xml:space="preserve">4x8 1-1/8in</t>
  </si>
  <si>
    <t xml:space="preserve">OSB T&amp;G</t>
  </si>
  <si>
    <t xml:space="preserve">Glue-nail subfloor</t>
  </si>
  <si>
    <t xml:space="preserve">sheets</t>
  </si>
  <si>
    <t xml:space="preserve">LSF x 1.05 / 32 sf/sheet</t>
  </si>
  <si>
    <t xml:space="preserve">Pony wall plate</t>
  </si>
  <si>
    <t xml:space="preserve">KD DF</t>
  </si>
  <si>
    <t xml:space="preserve">Pony wall top &amp; bottom plates</t>
  </si>
  <si>
    <t xml:space="preserve">EWLF x 2 plates / 16'</t>
  </si>
  <si>
    <t xml:space="preserve">Pony wall stud</t>
  </si>
  <si>
    <t xml:space="preserve">2x6 104-5/8in</t>
  </si>
  <si>
    <t xml:space="preserve">Pony wall studs 16" o.c.</t>
  </si>
  <si>
    <t xml:space="preserve">EWLF x 0.75 studs</t>
  </si>
  <si>
    <t xml:space="preserve">Pony wall sheathing</t>
  </si>
  <si>
    <t xml:space="preserve">4x8 7/16in</t>
  </si>
  <si>
    <t xml:space="preserve">OSB RTD</t>
  </si>
  <si>
    <t xml:space="preserve">Pony wall ext sheathing</t>
  </si>
  <si>
    <t xml:space="preserve">EWLF x 2 sides / 32 sf/sheet</t>
  </si>
  <si>
    <t xml:space="preserve">Framing nails</t>
  </si>
  <si>
    <t xml:space="preserve">3in 10d</t>
  </si>
  <si>
    <t xml:space="preserve">vinyl coated</t>
  </si>
  <si>
    <t xml:space="preserve">Framing nailer</t>
  </si>
  <si>
    <t xml:space="preserve">(EWSF + LSF + RSF) / 2000 per box</t>
  </si>
  <si>
    <t xml:space="preserve">Sheathing nails</t>
  </si>
  <si>
    <t xml:space="preserve">2-3/8in 8d</t>
  </si>
  <si>
    <t xml:space="preserve">ring-shank galv</t>
  </si>
  <si>
    <t xml:space="preserve">Sheathing nailer</t>
  </si>
  <si>
    <t xml:space="preserve">(EWSF + RSF) / 2000 per box</t>
  </si>
  <si>
    <t xml:space="preserve">Sheathing staples</t>
  </si>
  <si>
    <t xml:space="preserve">1-3/4in 7/16in</t>
  </si>
  <si>
    <t xml:space="preserve">electro galv</t>
  </si>
  <si>
    <t xml:space="preserve">Sheathing stapler</t>
  </si>
  <si>
    <t xml:space="preserve">EWSF / 2000</t>
  </si>
  <si>
    <t xml:space="preserve">  WALL FRAMING</t>
  </si>
  <si>
    <t xml:space="preserve">Ext wall plate</t>
  </si>
  <si>
    <t xml:space="preserve">Ext walls - 3 plates + window cuts &amp; backing</t>
  </si>
  <si>
    <t xml:space="preserve">EWLF x 3 plates / 16' x 1.25  (incl. window cut waste &amp; backing)</t>
  </si>
  <si>
    <t xml:space="preserve">Ext wall stud</t>
  </si>
  <si>
    <t xml:space="preserve">Ext studs 16" o.c.</t>
  </si>
  <si>
    <t xml:space="preserve">EWSF / 9 sf x 0.75 x 1.15 waste</t>
  </si>
  <si>
    <t xml:space="preserve">Wall sheathing</t>
  </si>
  <si>
    <t xml:space="preserve">4x9 7/16in</t>
  </si>
  <si>
    <t xml:space="preserve">Ext wall sheathing</t>
  </si>
  <si>
    <t xml:space="preserve">EWSF x 1.10 / 36 sf/sheet</t>
  </si>
  <si>
    <t xml:space="preserve">Window header</t>
  </si>
  <si>
    <t xml:space="preserve">4x10 14'</t>
  </si>
  <si>
    <t xml:space="preserve">#2 DF GRN</t>
  </si>
  <si>
    <t xml:space="preserve">Window rough openings</t>
  </si>
  <si>
    <t xml:space="preserve">MANUAL</t>
  </si>
  <si>
    <t xml:space="preserve">LG door/garage header</t>
  </si>
  <si>
    <t xml:space="preserve">Glulam 5-1/2x12</t>
  </si>
  <si>
    <t xml:space="preserve">1.8E DF</t>
  </si>
  <si>
    <t xml:space="preserve">Garage or large openings</t>
  </si>
  <si>
    <t xml:space="preserve">Int wall plate</t>
  </si>
  <si>
    <t xml:space="preserve">2x4 16'</t>
  </si>
  <si>
    <t xml:space="preserve">Int walls - 3 plates + 10% waste</t>
  </si>
  <si>
    <t xml:space="preserve">LSF / 8 x 3 plates / 16' x 1.10</t>
  </si>
  <si>
    <t xml:space="preserve">Int wall stud</t>
  </si>
  <si>
    <t xml:space="preserve">2x4 104-5/8in</t>
  </si>
  <si>
    <t xml:space="preserve">Int studs 16" o.c.</t>
  </si>
  <si>
    <t xml:space="preserve">LSF / 8 x 0.75 x 1.15 waste</t>
  </si>
  <si>
    <t xml:space="preserve">PT sill (garage/slab)</t>
  </si>
  <si>
    <t xml:space="preserve">2x4 14'</t>
  </si>
  <si>
    <t xml:space="preserve">Interior slab sill plate</t>
  </si>
  <si>
    <t xml:space="preserve">  ROOF FRAMING &amp; TRIM</t>
  </si>
  <si>
    <t xml:space="preserve">Roof sheathing</t>
  </si>
  <si>
    <t xml:space="preserve">Roof decking</t>
  </si>
  <si>
    <t xml:space="preserve">RSF x 1.10 / 32 sf/sheet</t>
  </si>
  <si>
    <t xml:space="preserve">Plywood clips</t>
  </si>
  <si>
    <t xml:space="preserve">7/16in H-clips</t>
  </si>
  <si>
    <t xml:space="preserve">metal</t>
  </si>
  <si>
    <t xml:space="preserve">Between roof sheets at mid-span</t>
  </si>
  <si>
    <t xml:space="preserve">RSF / 64 sf per box</t>
  </si>
  <si>
    <t xml:space="preserve">Barge rafter</t>
  </si>
  <si>
    <t xml:space="preserve">2x8 20'</t>
  </si>
  <si>
    <t xml:space="preserve">primed cypress</t>
  </si>
  <si>
    <t xml:space="preserve">Barge rafters &amp; gable</t>
  </si>
  <si>
    <t xml:space="preserve">EWLF x 0.20 / 20' x 1.10</t>
  </si>
  <si>
    <t xml:space="preserve">Fascia board</t>
  </si>
  <si>
    <t xml:space="preserve">5/4x8 20'</t>
  </si>
  <si>
    <t xml:space="preserve">Fascia</t>
  </si>
  <si>
    <t xml:space="preserve">EWLF x 1.05 / 20'</t>
  </si>
  <si>
    <t xml:space="preserve">Subfascia nailer</t>
  </si>
  <si>
    <t xml:space="preserve">1x4 12'</t>
  </si>
  <si>
    <t xml:space="preserve">utility DF</t>
  </si>
  <si>
    <t xml:space="preserve">Subfascia</t>
  </si>
  <si>
    <t xml:space="preserve">EWLF x 1.05 / 12'</t>
  </si>
  <si>
    <t xml:space="preserve">Roof bracing/lookout</t>
  </si>
  <si>
    <t xml:space="preserve">2x4 12'</t>
  </si>
  <si>
    <t xml:space="preserve">Outlookers, bracing</t>
  </si>
  <si>
    <t xml:space="preserve">EWLF x 0.15 / 12'</t>
  </si>
  <si>
    <t xml:space="preserve">Soffit panel</t>
  </si>
  <si>
    <t xml:space="preserve">16inx16ft 7/16in</t>
  </si>
  <si>
    <t xml:space="preserve">LP SmartSide</t>
  </si>
  <si>
    <t xml:space="preserve">Eave soffit</t>
  </si>
  <si>
    <t xml:space="preserve">EWLF x 1.5 ft overhang / 16'</t>
  </si>
  <si>
    <t xml:space="preserve">Barge sheathing</t>
  </si>
  <si>
    <t xml:space="preserve">12inx16ft 7/16in</t>
  </si>
  <si>
    <t xml:space="preserve">Barge rafter sheathing</t>
  </si>
  <si>
    <t xml:space="preserve">EWLF x 0.15 / 16'</t>
  </si>
  <si>
    <t xml:space="preserve">Barge trim</t>
  </si>
  <si>
    <t xml:space="preserve">1x4 20'</t>
  </si>
  <si>
    <t xml:space="preserve">Barge rafter trim cover</t>
  </si>
  <si>
    <t xml:space="preserve">EWLF x 0.20 / 20'</t>
  </si>
  <si>
    <t xml:space="preserve">  SIDING &amp; EXTERIOR TRIM</t>
  </si>
  <si>
    <t xml:space="preserve">House wrap</t>
  </si>
  <si>
    <t xml:space="preserve">9ftx150ft</t>
  </si>
  <si>
    <t xml:space="preserve">Tyvek HomeWrap</t>
  </si>
  <si>
    <t xml:space="preserve">Full exterior wrap</t>
  </si>
  <si>
    <t xml:space="preserve">EWSF / 1350 sf per roll</t>
  </si>
  <si>
    <t xml:space="preserve">Flashing tape 6in</t>
  </si>
  <si>
    <t xml:space="preserve">6in roll</t>
  </si>
  <si>
    <t xml:space="preserve">butyl</t>
  </si>
  <si>
    <t xml:space="preserve">Window/door RO flashing</t>
  </si>
  <si>
    <t xml:space="preserve">Flashing tape 4in</t>
  </si>
  <si>
    <t xml:space="preserve">4in roll</t>
  </si>
  <si>
    <t xml:space="preserve">Seams &amp; penetrations</t>
  </si>
  <si>
    <t xml:space="preserve">Tyvek tape</t>
  </si>
  <si>
    <t xml:space="preserve">2in roll</t>
  </si>
  <si>
    <t xml:space="preserve">Sealing wrap seams</t>
  </si>
  <si>
    <t xml:space="preserve">EWSF / 500 per roll</t>
  </si>
  <si>
    <t xml:space="preserve">Lap siding Hz10</t>
  </si>
  <si>
    <t xml:space="preserve">8-1/4inx12ft</t>
  </si>
  <si>
    <t xml:space="preserve">fiber cement</t>
  </si>
  <si>
    <t xml:space="preserve">Exterior lap siding</t>
  </si>
  <si>
    <t xml:space="preserve">squares</t>
  </si>
  <si>
    <t xml:space="preserve">EWSF x 1.10 / 100 sf per sq</t>
  </si>
  <si>
    <t xml:space="preserve">Corner boards</t>
  </si>
  <si>
    <t xml:space="preserve">5/4x4 20'</t>
  </si>
  <si>
    <t xml:space="preserve">Exterior corners</t>
  </si>
  <si>
    <t xml:space="preserve">EWLF x 0.06 (corner count est.)</t>
  </si>
  <si>
    <t xml:space="preserve">Window casing trim</t>
  </si>
  <si>
    <t xml:space="preserve">5/4x4 16'</t>
  </si>
  <si>
    <t xml:space="preserve">Window casings</t>
  </si>
  <si>
    <t xml:space="preserve">Band/trim board</t>
  </si>
  <si>
    <t xml:space="preserve">5/4x6 20'</t>
  </si>
  <si>
    <t xml:space="preserve">Band boards, trim</t>
  </si>
  <si>
    <t xml:space="preserve">EWLF x 0.15 / 20'</t>
  </si>
  <si>
    <t xml:space="preserve">Belly band</t>
  </si>
  <si>
    <t xml:space="preserve">5/4x8 16'</t>
  </si>
  <si>
    <t xml:space="preserve">Belly band / water table</t>
  </si>
  <si>
    <t xml:space="preserve">EWLF x 1.05 / 16'</t>
  </si>
  <si>
    <t xml:space="preserve">Inside corners</t>
  </si>
  <si>
    <t xml:space="preserve">2x2 10'</t>
  </si>
  <si>
    <t xml:space="preserve">primed</t>
  </si>
  <si>
    <t xml:space="preserve">Inside corner trim</t>
  </si>
  <si>
    <t xml:space="preserve">EWLF x 0.04</t>
  </si>
  <si>
    <t xml:space="preserve">1x2 trim</t>
  </si>
  <si>
    <t xml:space="preserve">1x2 16'</t>
  </si>
  <si>
    <t xml:space="preserve">Z-flashing base / small trim</t>
  </si>
  <si>
    <t xml:space="preserve">EWLF x 0.20 / 16'</t>
  </si>
  <si>
    <t xml:space="preserve">Hardi panel (gable)</t>
  </si>
  <si>
    <t xml:space="preserve">4x8 1/4in</t>
  </si>
  <si>
    <t xml:space="preserve">cedar mill</t>
  </si>
  <si>
    <t xml:space="preserve">Panel siding - gables/accents</t>
  </si>
  <si>
    <t xml:space="preserve">Window high-back flashing</t>
  </si>
  <si>
    <t xml:space="preserve">1x4in</t>
  </si>
  <si>
    <t xml:space="preserve">white</t>
  </si>
  <si>
    <t xml:space="preserve">Window sill pan flashing</t>
  </si>
  <si>
    <t xml:space="preserve">Exterior caulk TX-1</t>
  </si>
  <si>
    <t xml:space="preserve">10 oz tube</t>
  </si>
  <si>
    <t xml:space="preserve">sealant</t>
  </si>
  <si>
    <t xml:space="preserve">All exterior joints</t>
  </si>
  <si>
    <t xml:space="preserve">tubes</t>
  </si>
  <si>
    <t xml:space="preserve">EWSF / 200 per tube</t>
  </si>
  <si>
    <t xml:space="preserve">Siding nails</t>
  </si>
  <si>
    <t xml:space="preserve">electro-galv coil</t>
  </si>
  <si>
    <t xml:space="preserve">Lap siding gun nails</t>
  </si>
  <si>
    <t xml:space="preserve">EWSF / 500 per box</t>
  </si>
  <si>
    <t xml:space="preserve">  DECK</t>
  </si>
  <si>
    <t xml:space="preserve">PT ledger &amp; rim board</t>
  </si>
  <si>
    <t xml:space="preserve">P.T.</t>
  </si>
  <si>
    <t xml:space="preserve">Perimeter ledger + rim</t>
  </si>
  <si>
    <t xml:space="preserve">IF DSF&gt;0: sqrt(DSF) x 3 / 16'</t>
  </si>
  <si>
    <t xml:space="preserve">PT deck joist</t>
  </si>
  <si>
    <t xml:space="preserve">2x8 16'</t>
  </si>
  <si>
    <t xml:space="preserve">Deck joists 16" o.c.</t>
  </si>
  <si>
    <t xml:space="preserve">IF DSF&gt;0: DSF x 0.80 LF</t>
  </si>
  <si>
    <t xml:space="preserve">PT post 4x4</t>
  </si>
  <si>
    <t xml:space="preserve">4x4 12'</t>
  </si>
  <si>
    <t xml:space="preserve">Deck support posts</t>
  </si>
  <si>
    <t xml:space="preserve">IF DSF&gt;0: sqrt(DSF) / 6</t>
  </si>
  <si>
    <t xml:space="preserve">PT beam post 6x6</t>
  </si>
  <si>
    <t xml:space="preserve">6x6 12'</t>
  </si>
  <si>
    <t xml:space="preserve">Heavy beam support posts</t>
  </si>
  <si>
    <t xml:space="preserve">IF DSF&gt;0: 4 pcs</t>
  </si>
  <si>
    <t xml:space="preserve">Composite decking</t>
  </si>
  <si>
    <t xml:space="preserve">5/4x6 16'</t>
  </si>
  <si>
    <t xml:space="preserve">Fiberon/Trex</t>
  </si>
  <si>
    <t xml:space="preserve">Deck surface</t>
  </si>
  <si>
    <t xml:space="preserve">IF DSF&gt;0: DSF x 1.10 / (5.5/12 x 16')</t>
  </si>
  <si>
    <t xml:space="preserve">Deck hardware &amp; fasteners</t>
  </si>
  <si>
    <t xml:space="preserve">misc</t>
  </si>
  <si>
    <t xml:space="preserve">Joist hangers, lag screws, clips</t>
  </si>
  <si>
    <t xml:space="preserve">allow</t>
  </si>
  <si>
    <t xml:space="preserve">IF DSF&gt;0: 1 allowance</t>
  </si>
  <si>
    <t xml:space="preserve">  STAIRCASE MATERIALS (key in qtys if applicable)</t>
  </si>
  <si>
    <t xml:space="preserve">Stringers</t>
  </si>
  <si>
    <t xml:space="preserve">2x12x20'</t>
  </si>
  <si>
    <t xml:space="preserve">#2 DF  /  key in species</t>
  </si>
  <si>
    <t xml:space="preserve">Staircase stringers</t>
  </si>
  <si>
    <t xml:space="preserve">MANUAL -- enter qty if staircase applies</t>
  </si>
  <si>
    <t xml:space="preserve">Risers</t>
  </si>
  <si>
    <t xml:space="preserve">varies  /  key in</t>
  </si>
  <si>
    <t xml:space="preserve">key in</t>
  </si>
  <si>
    <t xml:space="preserve">Staircase risers</t>
  </si>
  <si>
    <t xml:space="preserve">Treads</t>
  </si>
  <si>
    <t xml:space="preserve">Staircase treads</t>
  </si>
  <si>
    <t xml:space="preserve">Stair hangers &amp; fasteners</t>
  </si>
  <si>
    <t xml:space="preserve">Staircase hardware allowance</t>
  </si>
  <si>
    <t xml:space="preserve">  NOTES  --  Porch Posts / Beams / Other Specialty Items  (type notes in yellow cells)</t>
  </si>
  <si>
    <t xml:space="preserve">  Porch Posts / Columns:</t>
  </si>
  <si>
    <t xml:space="preserve">  Beams / Specialty Framing:</t>
  </si>
  <si>
    <t xml:space="preserve">  Other Specialty Items:</t>
  </si>
  <si>
    <t xml:space="preserve">  YELLOW = enter manually   |   All other qty auto-calculated from key dimensions   |   Col H = formula logic (print-excluded)</t>
  </si>
  <si>
    <t xml:space="preserve">RIDGELINE CONSTRUCTION - PROJECT ESTIMATE</t>
  </si>
  <si>
    <t xml:space="preserve">Prices linked to Price Database (BFS QT# 4269124 - 06-26-2026)</t>
  </si>
  <si>
    <t xml:space="preserve">Markup %:</t>
  </si>
  <si>
    <t xml:space="preserve">Size / Grade</t>
  </si>
  <si>
    <t xml:space="preserve">Used / Location</t>
  </si>
  <si>
    <t xml:space="preserve">Unit Price</t>
  </si>
  <si>
    <t xml:space="preserve">Total</t>
  </si>
  <si>
    <t xml:space="preserve">2x6 16'  -  P.T. pine</t>
  </si>
  <si>
    <t xml:space="preserve">6in 50'  -  foam/fiberglass</t>
  </si>
  <si>
    <t xml:space="preserve">3x3x1/4in  -  galvanized</t>
  </si>
  <si>
    <t xml:space="preserve">9-1/2in BCI-5000  -  engineered</t>
  </si>
  <si>
    <t xml:space="preserve">4x8 1-1/8in  -  OSB T&amp;G</t>
  </si>
  <si>
    <t xml:space="preserve">2x6 16'  -  KD DF</t>
  </si>
  <si>
    <t xml:space="preserve">2x6 104-5/8in  -  KD DF</t>
  </si>
  <si>
    <t xml:space="preserve">4x8 7/16in  -  OSB RTD</t>
  </si>
  <si>
    <t xml:space="preserve">3in 10d  -  vinyl coated</t>
  </si>
  <si>
    <t xml:space="preserve">2-3/8in 8d  -  ring-shank galv</t>
  </si>
  <si>
    <t xml:space="preserve">1-3/4in 7/16in  -  electro galv</t>
  </si>
  <si>
    <t xml:space="preserve">  FOUNDATION &amp; FLOOR STRUCTURE  —  Subtotal</t>
  </si>
  <si>
    <t xml:space="preserve">4x9 7/16in  -  OSB RTD</t>
  </si>
  <si>
    <t xml:space="preserve">4x10 14'  -  #2 DF GRN</t>
  </si>
  <si>
    <t xml:space="preserve">Glulam 5-1/2x12  -  1.8E DF</t>
  </si>
  <si>
    <t xml:space="preserve">2x4 16'  -  KD DF</t>
  </si>
  <si>
    <t xml:space="preserve">2x4 104-5/8in  -  KD DF</t>
  </si>
  <si>
    <t xml:space="preserve">2x4 14'  -  P.T. pine</t>
  </si>
  <si>
    <t xml:space="preserve">  WALL FRAMING  —  Subtotal</t>
  </si>
  <si>
    <t xml:space="preserve">7/16in H-clips  -  metal</t>
  </si>
  <si>
    <t xml:space="preserve">2x8 20'  -  primed cypress</t>
  </si>
  <si>
    <t xml:space="preserve">5/4x8 20'  -  primed cypress</t>
  </si>
  <si>
    <t xml:space="preserve">1x4 12'  -  utility DF</t>
  </si>
  <si>
    <t xml:space="preserve">2x4 12'  -  KD DF</t>
  </si>
  <si>
    <t xml:space="preserve">16inx16ft 7/16in  -  LP SmartSide</t>
  </si>
  <si>
    <t xml:space="preserve">12inx16ft 7/16in  -  LP SmartSide</t>
  </si>
  <si>
    <t xml:space="preserve">1x4 20'  -  primed cypress</t>
  </si>
  <si>
    <t xml:space="preserve">  ROOF FRAMING &amp; TRIM  —  Subtotal</t>
  </si>
  <si>
    <t xml:space="preserve">9ftx150ft  -  Tyvek HomeWrap</t>
  </si>
  <si>
    <t xml:space="preserve">6in roll  -  butyl</t>
  </si>
  <si>
    <t xml:space="preserve">4in roll  -  butyl</t>
  </si>
  <si>
    <t xml:space="preserve">2in roll  -  Tyvek tape</t>
  </si>
  <si>
    <t xml:space="preserve">8-1/4inx12ft  -  fiber cement</t>
  </si>
  <si>
    <t xml:space="preserve">5/4x4 20'  -  primed cypress</t>
  </si>
  <si>
    <t xml:space="preserve">5/4x4 16'  -  primed cypress</t>
  </si>
  <si>
    <t xml:space="preserve">5/4x6 20'  -  primed cypress</t>
  </si>
  <si>
    <t xml:space="preserve">5/4x8 16'  -  primed cypress</t>
  </si>
  <si>
    <t xml:space="preserve">2x2 10'  -  primed</t>
  </si>
  <si>
    <t xml:space="preserve">1x2 16'  -  primed cypress</t>
  </si>
  <si>
    <t xml:space="preserve">4x8 1/4in  -  cedar mill</t>
  </si>
  <si>
    <t xml:space="preserve">1x4in  -  white</t>
  </si>
  <si>
    <t xml:space="preserve">10 oz tube  -  sealant</t>
  </si>
  <si>
    <t xml:space="preserve">electro-galv coil  -  fiber cement</t>
  </si>
  <si>
    <t xml:space="preserve">  SIDING &amp; EXTERIOR TRIM  —  Subtotal</t>
  </si>
  <si>
    <t xml:space="preserve">2x6 16'  -  P.T.</t>
  </si>
  <si>
    <t xml:space="preserve">2x8 16'  -  P.T.</t>
  </si>
  <si>
    <t xml:space="preserve">4x4 12'  -  P.T.</t>
  </si>
  <si>
    <t xml:space="preserve">6x6 12'  -  P.T.</t>
  </si>
  <si>
    <t xml:space="preserve">5/4x6 16'  -  Fiberon/Trex</t>
  </si>
  <si>
    <t xml:space="preserve">misc  -  galvanized</t>
  </si>
  <si>
    <t xml:space="preserve">  DECK  —  Subtotal</t>
  </si>
  <si>
    <t xml:space="preserve">2x12x20'  -  #2 DF  /  key in species</t>
  </si>
  <si>
    <t xml:space="preserve">varies  /  key in  -  key in</t>
  </si>
  <si>
    <t xml:space="preserve">  STAIRCASE MATERIALS  —  Subtotal</t>
  </si>
  <si>
    <t xml:space="preserve">MATERIAL SUBTOTAL</t>
  </si>
  <si>
    <t xml:space="preserve">  SPECIAL ITEMS &amp; ADD-ONS  -  Enter description, qty, and unit price in yellow cells</t>
  </si>
  <si>
    <t xml:space="preserve">ADD-ONS SUBTOTAL</t>
  </si>
  <si>
    <t xml:space="preserve">GRAND TOTAL  (materials + add-ons)</t>
  </si>
  <si>
    <t xml:space="preserve">TOTAL WITH MARKUP</t>
  </si>
  <si>
    <t xml:space="preserve">  BLUE = hardcoded   |   GREEN = live from Price Database (BFS)   |   YELLOW = enter manually</t>
  </si>
  <si>
    <t xml:space="preserve">RIDGELINE CONSTRUCTION - ESTIMATING CALCULATORS</t>
  </si>
  <si>
    <t xml:space="preserve">Standalone calculators - enter dimensions in yellow cells - prices pull from Price Database tab</t>
  </si>
  <si>
    <t xml:space="preserve">  1.  DECK ESTIMATOR</t>
  </si>
  <si>
    <t xml:space="preserve">  INPUTS  (enter in yellow)</t>
  </si>
  <si>
    <t xml:space="preserve">  RESULTS  (auto)</t>
  </si>
  <si>
    <t xml:space="preserve">Deck length (ft):</t>
  </si>
  <si>
    <t xml:space="preserve">Deck area (sq ft):</t>
  </si>
  <si>
    <t xml:space="preserve">Deck width (ft):</t>
  </si>
  <si>
    <t xml:space="preserve">Decking pieces:</t>
  </si>
  <si>
    <t xml:space="preserve">Railing LF (approx):</t>
  </si>
  <si>
    <t xml:space="preserve">Joist LF needed:</t>
  </si>
  <si>
    <t xml:space="preserve">Ledger/rim pcs (16'):</t>
  </si>
  <si>
    <t xml:space="preserve">  -- Deck Material Pricing --</t>
  </si>
  <si>
    <t xml:space="preserve">Railing LF:</t>
  </si>
  <si>
    <t xml:space="preserve">Composite decking / pc:</t>
  </si>
  <si>
    <t xml:space="preserve">None</t>
  </si>
  <si>
    <t xml:space="preserve">PT 2x8 joist / LF:</t>
  </si>
  <si>
    <t xml:space="preserve">Decking cost:</t>
  </si>
  <si>
    <t xml:space="preserve">Deck hardware allow $:</t>
  </si>
  <si>
    <t xml:space="preserve">Joist cost:</t>
  </si>
  <si>
    <t xml:space="preserve">Hardware:</t>
  </si>
  <si>
    <t xml:space="preserve">  -- Metal Post &amp; Rail System  (key in qtys) --</t>
  </si>
  <si>
    <t xml:space="preserve">Corner posts (qty):</t>
  </si>
  <si>
    <t xml:space="preserve">Corner posts cost:</t>
  </si>
  <si>
    <t xml:space="preserve">Mid posts (qty):</t>
  </si>
  <si>
    <t xml:space="preserve">Mid posts cost:</t>
  </si>
  <si>
    <t xml:space="preserve">End posts (qty):</t>
  </si>
  <si>
    <t xml:space="preserve">End posts cost:</t>
  </si>
  <si>
    <t xml:space="preserve">Stair posts (qty):</t>
  </si>
  <si>
    <t xml:space="preserve">Stair posts cost:</t>
  </si>
  <si>
    <t xml:space="preserve">6-ft rail sections (qty):</t>
  </si>
  <si>
    <t xml:space="preserve">6-ft rail cost:</t>
  </si>
  <si>
    <t xml:space="preserve">8-ft rail sections (qty):</t>
  </si>
  <si>
    <t xml:space="preserve">8-ft rail cost:</t>
  </si>
  <si>
    <t xml:space="preserve">Brackets (qty):</t>
  </si>
  <si>
    <t xml:space="preserve">Brackets cost:</t>
  </si>
  <si>
    <t xml:space="preserve">Lag bolts (qty):</t>
  </si>
  <si>
    <t xml:space="preserve">Lag bolts cost:</t>
  </si>
  <si>
    <t xml:space="preserve">Misc metal rail allow $:</t>
  </si>
  <si>
    <t xml:space="preserve">Misc metal allow:</t>
  </si>
  <si>
    <t xml:space="preserve">Metal rail subtotal:</t>
  </si>
  <si>
    <t xml:space="preserve">  -- Metal Rail Unit Pricing --</t>
  </si>
  <si>
    <t xml:space="preserve">Corner post / ea:</t>
  </si>
  <si>
    <t xml:space="preserve">ESTIMATED TOTAL:</t>
  </si>
  <si>
    <t xml:space="preserve">Mid post / ea:</t>
  </si>
  <si>
    <t xml:space="preserve">End post / ea:</t>
  </si>
  <si>
    <t xml:space="preserve">Stair post / ea:</t>
  </si>
  <si>
    <t xml:space="preserve">6-ft rail section / ea:</t>
  </si>
  <si>
    <t xml:space="preserve">8-ft rail section / ea:</t>
  </si>
  <si>
    <t xml:space="preserve">Bracket / ea:</t>
  </si>
  <si>
    <t xml:space="preserve">Lag bolt / ea:</t>
  </si>
  <si>
    <t xml:space="preserve">  2.  METAL ROOFING ESTIMATOR</t>
  </si>
  <si>
    <t xml:space="preserve">Roof length / ridge (ft):</t>
  </si>
  <si>
    <t xml:space="preserve">Total roof area (sq ft):</t>
  </si>
  <si>
    <t xml:space="preserve">Slope length - peak to gutter (ft):</t>
  </si>
  <si>
    <t xml:space="preserve">Squares needed (10% waste):</t>
  </si>
  <si>
    <t xml:space="preserve">Number of slopes:</t>
  </si>
  <si>
    <t xml:space="preserve">Panels across ridge:</t>
  </si>
  <si>
    <t xml:space="preserve">Panel width (inches):</t>
  </si>
  <si>
    <t xml:space="preserve">Total panel pieces:</t>
  </si>
  <si>
    <t xml:space="preserve">Ridge cap LF:</t>
  </si>
  <si>
    <t xml:space="preserve">Panel length each (ft):</t>
  </si>
  <si>
    <t xml:space="preserve">Eave drip edge LF:</t>
  </si>
  <si>
    <t xml:space="preserve">Gable trim LF (auto):</t>
  </si>
  <si>
    <t xml:space="preserve">Valley LF:</t>
  </si>
  <si>
    <t xml:space="preserve">  (slope length x 2 sides)</t>
  </si>
  <si>
    <t xml:space="preserve">Metal panel (per sq):</t>
  </si>
  <si>
    <t xml:space="preserve">Ridge cap (per LF):</t>
  </si>
  <si>
    <t xml:space="preserve">Gable trim (per LF):</t>
  </si>
  <si>
    <t xml:space="preserve">Eave drip edge (per LF):</t>
  </si>
  <si>
    <t xml:space="preserve">Panel cost:</t>
  </si>
  <si>
    <t xml:space="preserve">Valley flashing (per LF):</t>
  </si>
  <si>
    <t xml:space="preserve">Ridge cap cost:</t>
  </si>
  <si>
    <t xml:space="preserve">Fasteners allowance $:</t>
  </si>
  <si>
    <t xml:space="preserve">Gable trim cost:</t>
  </si>
  <si>
    <t xml:space="preserve">Eave drip edge cost:</t>
  </si>
  <si>
    <t xml:space="preserve">Valley cost:</t>
  </si>
  <si>
    <t xml:space="preserve">Fasteners:</t>
  </si>
  <si>
    <t xml:space="preserve">  3.  LAP SIDING ESTIMATOR  (Hardi Hz10 8-1/4")</t>
  </si>
  <si>
    <t xml:space="preserve">Gross wall area (sq ft):</t>
  </si>
  <si>
    <t xml:space="preserve">Net siding area (sq ft):</t>
  </si>
  <si>
    <t xml:space="preserve">Window/door deduct (sq ft):</t>
  </si>
  <si>
    <t xml:space="preserve">Hardi squares needed:</t>
  </si>
  <si>
    <t xml:space="preserve">Waste factor (%):</t>
  </si>
  <si>
    <t xml:space="preserve">Corner boards:</t>
  </si>
  <si>
    <t xml:space="preserve">Wall perimeter (LF):</t>
  </si>
  <si>
    <t xml:space="preserve">Tyvek rolls:</t>
  </si>
  <si>
    <t xml:space="preserve">Caulk tubes:</t>
  </si>
  <si>
    <t xml:space="preserve">Hardi lap / sq:</t>
  </si>
  <si>
    <t xml:space="preserve">Nail boxes:</t>
  </si>
  <si>
    <t xml:space="preserve">Corner board 5/4x4 20' / pc:</t>
  </si>
  <si>
    <t xml:space="preserve">Tyvek roll:</t>
  </si>
  <si>
    <t xml:space="preserve">Siding cost:</t>
  </si>
  <si>
    <t xml:space="preserve">Caulk tube:</t>
  </si>
  <si>
    <t xml:space="preserve">Corner board cost:</t>
  </si>
  <si>
    <t xml:space="preserve">Siding nail box:</t>
  </si>
  <si>
    <t xml:space="preserve">Tyvek cost:</t>
  </si>
  <si>
    <t xml:space="preserve">Caulk cost:</t>
  </si>
  <si>
    <t xml:space="preserve">Nails cost:</t>
  </si>
  <si>
    <t xml:space="preserve">  4.  BOARD &amp; BATTEN SIDING ESTIMATOR</t>
  </si>
  <si>
    <t xml:space="preserve">Net wall area (sq ft):</t>
  </si>
  <si>
    <t xml:space="preserve">Hardi 4x10 panels:</t>
  </si>
  <si>
    <t xml:space="preserve">Batten LF needed:</t>
  </si>
  <si>
    <t xml:space="preserve">Wall height (ft):</t>
  </si>
  <si>
    <t xml:space="preserve">Batten spacing (in):</t>
  </si>
  <si>
    <t xml:space="preserve">Hardi 4x10 panel / sheet:</t>
  </si>
  <si>
    <t xml:space="preserve">1x3 batten (per LF):</t>
  </si>
  <si>
    <t xml:space="preserve">Batten cost:</t>
  </si>
  <si>
    <t xml:space="preserve">Nail box:</t>
  </si>
  <si>
    <t xml:space="preserve">RIDGELINE CONSTRUCTION — MATERIAL PRICE DATABASE</t>
  </si>
  <si>
    <t xml:space="preserve">BFS QT# 4269124  |  Date: 06-26-2026  |  Expires: 07-02-2026  |  Location: Woodland WA Yard  |  BLUE cells = update prices here</t>
  </si>
  <si>
    <t xml:space="preserve">Item Code</t>
  </si>
  <si>
    <t xml:space="preserve">Old Price</t>
  </si>
  <si>
    <t xml:space="preserve">Change %</t>
  </si>
  <si>
    <t xml:space="preserve">DIMENSIONAL LUMBER</t>
  </si>
  <si>
    <t xml:space="preserve">2X6-16' #2&amp;BTR Douglas Fir</t>
  </si>
  <si>
    <t xml:space="preserve">2616DF2</t>
  </si>
  <si>
    <t xml:space="preserve">MBF</t>
  </si>
  <si>
    <t xml:space="preserve">General framing</t>
  </si>
  <si>
    <t xml:space="preserve">2X4-16' STD&amp;BTR Douglas Fir</t>
  </si>
  <si>
    <t xml:space="preserve">2416DF</t>
  </si>
  <si>
    <t xml:space="preserve">2X4-104-5/8" Stud DF PET</t>
  </si>
  <si>
    <t xml:space="preserve">2410458DF</t>
  </si>
  <si>
    <t xml:space="preserve">Precut stud - 9' wall</t>
  </si>
  <si>
    <t xml:space="preserve">2X6-104-5/8" Stud DF PET</t>
  </si>
  <si>
    <t xml:space="preserve">2610458DF</t>
  </si>
  <si>
    <t xml:space="preserve">4X10-14' #2 DF GRN</t>
  </si>
  <si>
    <t xml:space="preserve">41014GDF2</t>
  </si>
  <si>
    <t xml:space="preserve">Header / beam</t>
  </si>
  <si>
    <t xml:space="preserve">SHEATHING &amp; OSB</t>
  </si>
  <si>
    <t xml:space="preserve">7/16"x4x8 OSB RTD</t>
  </si>
  <si>
    <t xml:space="preserve">716OSB</t>
  </si>
  <si>
    <t xml:space="preserve">MSF</t>
  </si>
  <si>
    <t xml:space="preserve">7/16"x4x9 OSB RTD</t>
  </si>
  <si>
    <t xml:space="preserve">716OSB9</t>
  </si>
  <si>
    <t xml:space="preserve">7/16"x4x10 OSB RTD</t>
  </si>
  <si>
    <t xml:space="preserve">716OSB10</t>
  </si>
  <si>
    <t xml:space="preserve">Wall/roof sheathing</t>
  </si>
  <si>
    <t xml:space="preserve">1-1/8"x4x8 T&amp;G OSB EDGGLD SIF Full Face</t>
  </si>
  <si>
    <t xml:space="preserve">118TGOSBWGOFF</t>
  </si>
  <si>
    <t xml:space="preserve">Subfloor T&amp;G</t>
  </si>
  <si>
    <t xml:space="preserve">ENGINEERED LUMBER &amp; I-JOISTS</t>
  </si>
  <si>
    <t xml:space="preserve">9-1/2 BCI-5000 LF - 2" BC I-Joist</t>
  </si>
  <si>
    <t xml:space="preserve">10BCI5000</t>
  </si>
  <si>
    <t xml:space="preserve">Floor joist</t>
  </si>
  <si>
    <t xml:space="preserve">11-7/8 BCI-5000 LF - 2" BC I-Joist</t>
  </si>
  <si>
    <t xml:space="preserve">12BCI5000</t>
  </si>
  <si>
    <t xml:space="preserve">5-1/2X11-7/8 Glulam LF 1.8E</t>
  </si>
  <si>
    <t xml:space="preserve">5121178DF18GL</t>
  </si>
  <si>
    <t xml:space="preserve">Glulam beam</t>
  </si>
  <si>
    <t xml:space="preserve">PRESSURE TREATED LUMBER</t>
  </si>
  <si>
    <t xml:space="preserve">2X6-16' #2 HF TRTD GC ICT Incised Cedartone</t>
  </si>
  <si>
    <t xml:space="preserve">2616HF2TICGC</t>
  </si>
  <si>
    <t xml:space="preserve">NEW</t>
  </si>
  <si>
    <t xml:space="preserve">NEW ✦</t>
  </si>
  <si>
    <t xml:space="preserve">NEW - Deck ledger/framing</t>
  </si>
  <si>
    <t xml:space="preserve">2X8-16' #2 HF TRTD GC ICT Incised Cedartone</t>
  </si>
  <si>
    <t xml:space="preserve">2816HF2TICGC</t>
  </si>
  <si>
    <t xml:space="preserve">Deck framing (was PTICGC)</t>
  </si>
  <si>
    <t xml:space="preserve">4X4-12' #2 HF TRTD Incised CT GC S4S</t>
  </si>
  <si>
    <t xml:space="preserve">4412HF2TICGC</t>
  </si>
  <si>
    <t xml:space="preserve">Deck post</t>
  </si>
  <si>
    <t xml:space="preserve">6X6-12' #2 HF TRTD Incised CT GC S4S</t>
  </si>
  <si>
    <t xml:space="preserve">6612HF2TICGC</t>
  </si>
  <si>
    <t xml:space="preserve">Deck post/beam</t>
  </si>
  <si>
    <t xml:space="preserve">SIDING &amp; TRIM — FIBER CEMENT</t>
  </si>
  <si>
    <t xml:space="preserve">Hardi Trim Board 5/4"x3.5"x12' Rustic Grain</t>
  </si>
  <si>
    <t xml:space="preserve">HZU54412RT</t>
  </si>
  <si>
    <t xml:space="preserve">Hardi trim</t>
  </si>
  <si>
    <t xml:space="preserve">Hardi Trim Board 5/4"x5.5"x12' Rustic Grain</t>
  </si>
  <si>
    <t xml:space="preserve">HZU54612RT</t>
  </si>
  <si>
    <t xml:space="preserve">Hardi Plank Lap Siding 8.25"x12' HZ10 Cedarmill</t>
  </si>
  <si>
    <t xml:space="preserve">HZ10814CMSP</t>
  </si>
  <si>
    <t xml:space="preserve">Lap siding</t>
  </si>
  <si>
    <t xml:space="preserve">Hardi Panel 4x8 5/16" Cedarmill</t>
  </si>
  <si>
    <t xml:space="preserve">HZ1048CMP</t>
  </si>
  <si>
    <t xml:space="preserve">NEW - Panel siding</t>
  </si>
  <si>
    <t xml:space="preserve">CYPRESS FJ PRIMED TRIM (NEW)</t>
  </si>
  <si>
    <t xml:space="preserve">5/4X4-20' Cypress FJ Primed</t>
  </si>
  <si>
    <t xml:space="preserve">540420CYPP</t>
  </si>
  <si>
    <t xml:space="preserve">NEW - Exterior trim</t>
  </si>
  <si>
    <t xml:space="preserve">5/4X6-20' Cypress FJ Primed</t>
  </si>
  <si>
    <t xml:space="preserve">540620CYPP</t>
  </si>
  <si>
    <t xml:space="preserve">2X8-20' Cypress FJ Primed</t>
  </si>
  <si>
    <t xml:space="preserve">20820CYPP</t>
  </si>
  <si>
    <t xml:space="preserve">NEW - Fascia/trim</t>
  </si>
  <si>
    <t xml:space="preserve">2X6-20' Cypress FJ Primed</t>
  </si>
  <si>
    <t xml:space="preserve">20620CYPP</t>
  </si>
  <si>
    <t xml:space="preserve">1X2-20 Cypress TK FJ Primed</t>
  </si>
  <si>
    <t xml:space="preserve">10220CYPP</t>
  </si>
  <si>
    <t xml:space="preserve">NEW - Small trim</t>
  </si>
  <si>
    <t xml:space="preserve">QUOTE TOTAL (QT# 4269124)</t>
  </si>
  <si>
    <t xml:space="preserve">COLOR KEY:   🔴 Pink = Price INCREASED   🟢 Green = Price DECREASED   🟡 Yellow = NEW item this quote   🔵 Blue text = Update here when prices change</t>
  </si>
</sst>
</file>

<file path=xl/styles.xml><?xml version="1.0" encoding="utf-8"?>
<styleSheet xmlns="http://schemas.openxmlformats.org/spreadsheetml/2006/main">
  <numFmts count="16">
    <numFmt numFmtId="164" formatCode="General"/>
    <numFmt numFmtId="165" formatCode="#,##0"/>
    <numFmt numFmtId="166" formatCode="#,##0.#"/>
    <numFmt numFmtId="167" formatCode="0.0%"/>
    <numFmt numFmtId="168" formatCode="ddd\ mm/dd/yyyy"/>
    <numFmt numFmtId="169" formatCode="mm/dd/yyyy"/>
    <numFmt numFmtId="170" formatCode="\$#,##0.00;&quot;($&quot;#,##0.00\);\-"/>
    <numFmt numFmtId="171" formatCode="ddd\ mm/dd/yy"/>
    <numFmt numFmtId="172" formatCode="0%"/>
    <numFmt numFmtId="173" formatCode="mmm\ d"/>
    <numFmt numFmtId="174" formatCode="d"/>
    <numFmt numFmtId="175" formatCode="mm/dd/yy"/>
    <numFmt numFmtId="176" formatCode="#,##0.0"/>
    <numFmt numFmtId="177" formatCode="\$#,##0.00"/>
    <numFmt numFmtId="178" formatCode="\$#,##0"/>
    <numFmt numFmtId="179" formatCode="\+0.0%;\-0.0%;\—"/>
  </numFmts>
  <fonts count="70">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b val="true"/>
      <sz val="13"/>
      <color rgb="FF1F3A5F"/>
      <name val="Arial"/>
      <family val="0"/>
      <charset val="1"/>
    </font>
    <font>
      <sz val="11"/>
      <color rgb="FF000000"/>
      <name val="Arial"/>
      <family val="0"/>
      <charset val="1"/>
    </font>
    <font>
      <sz val="10"/>
      <color rgb="FF595959"/>
      <name val="Arial"/>
      <family val="0"/>
      <charset val="1"/>
    </font>
    <font>
      <b val="true"/>
      <sz val="18"/>
      <color rgb="FF1F3A5F"/>
      <name val="Arial"/>
      <family val="0"/>
      <charset val="1"/>
    </font>
    <font>
      <i val="true"/>
      <sz val="10"/>
      <color rgb="FF666666"/>
      <name val="Arial"/>
      <family val="0"/>
      <charset val="1"/>
    </font>
    <font>
      <b val="true"/>
      <sz val="11"/>
      <color rgb="FFFFFFFF"/>
      <name val="Arial"/>
      <family val="0"/>
      <charset val="1"/>
    </font>
    <font>
      <b val="true"/>
      <sz val="11"/>
      <name val="Arial"/>
      <family val="0"/>
      <charset val="1"/>
    </font>
    <font>
      <sz val="11"/>
      <color rgb="FF0000FF"/>
      <name val="Arial"/>
      <family val="0"/>
      <charset val="1"/>
    </font>
    <font>
      <i val="true"/>
      <sz val="9"/>
      <color rgb="FF888888"/>
      <name val="Arial"/>
      <family val="0"/>
      <charset val="1"/>
    </font>
    <font>
      <b val="true"/>
      <sz val="11"/>
      <color rgb="FF1F3A5F"/>
      <name val="Arial"/>
      <family val="0"/>
      <charset val="1"/>
    </font>
    <font>
      <b val="true"/>
      <sz val="11"/>
      <color rgb="FF000000"/>
      <name val="Arial"/>
      <family val="0"/>
      <charset val="1"/>
    </font>
    <font>
      <b val="true"/>
      <sz val="20"/>
      <color rgb="FF1F3A5F"/>
      <name val="Arial"/>
      <family val="0"/>
      <charset val="1"/>
    </font>
    <font>
      <sz val="9"/>
      <color rgb="FF6B7682"/>
      <name val="Arial"/>
      <family val="0"/>
      <charset val="1"/>
    </font>
    <font>
      <b val="true"/>
      <sz val="10"/>
      <color rgb="FF6B7682"/>
      <name val="Arial"/>
      <family val="0"/>
      <charset val="1"/>
    </font>
    <font>
      <b val="true"/>
      <sz val="11"/>
      <color rgb="FF2E5A88"/>
      <name val="Arial"/>
      <family val="0"/>
      <charset val="1"/>
    </font>
    <font>
      <b val="true"/>
      <sz val="12"/>
      <color rgb="FF2E5A88"/>
      <name val="Arial"/>
      <family val="0"/>
      <charset val="1"/>
    </font>
    <font>
      <sz val="10"/>
      <color rgb="FF3C3C3C"/>
      <name val="Arial"/>
      <family val="0"/>
      <charset val="1"/>
    </font>
    <font>
      <b val="true"/>
      <sz val="9"/>
      <color rgb="FF9C6500"/>
      <name val="Arial"/>
      <family val="0"/>
      <charset val="1"/>
    </font>
    <font>
      <b val="true"/>
      <u val="single"/>
      <sz val="10"/>
      <color rgb="FF0563C1"/>
      <name val="Arial"/>
      <family val="0"/>
      <charset val="1"/>
    </font>
    <font>
      <sz val="9.5"/>
      <color rgb="FF4A4A4A"/>
      <name val="Arial"/>
      <family val="0"/>
      <charset val="1"/>
    </font>
    <font>
      <sz val="10"/>
      <color rgb="FF1F7A5F"/>
      <name val="Arial"/>
      <family val="0"/>
      <charset val="1"/>
    </font>
    <font>
      <i val="true"/>
      <sz val="9"/>
      <color rgb="FF6B7682"/>
      <name val="Arial"/>
      <family val="0"/>
      <charset val="1"/>
    </font>
    <font>
      <i val="true"/>
      <sz val="9"/>
      <color rgb="FF1F7A5F"/>
      <name val="Arial"/>
      <family val="0"/>
      <charset val="1"/>
    </font>
    <font>
      <b val="true"/>
      <sz val="11"/>
      <color rgb="FF9C6500"/>
      <name val="Arial"/>
      <family val="0"/>
      <charset val="1"/>
    </font>
    <font>
      <b val="true"/>
      <sz val="11"/>
      <color rgb="FF1F7A5F"/>
      <name val="Arial"/>
      <family val="0"/>
      <charset val="1"/>
    </font>
    <font>
      <sz val="11"/>
      <color rgb="FF008000"/>
      <name val="Arial"/>
      <family val="0"/>
      <charset val="1"/>
    </font>
    <font>
      <sz val="9"/>
      <color rgb="FF888888"/>
      <name val="Arial"/>
      <family val="0"/>
      <charset val="1"/>
    </font>
    <font>
      <sz val="11"/>
      <name val="Arial"/>
      <family val="0"/>
      <charset val="1"/>
    </font>
    <font>
      <sz val="10"/>
      <name val="Arial"/>
      <family val="2"/>
    </font>
    <font>
      <b val="true"/>
      <sz val="9"/>
      <color rgb="FF1F3A5F"/>
      <name val="Arial"/>
      <family val="0"/>
      <charset val="1"/>
    </font>
    <font>
      <b val="true"/>
      <sz val="9"/>
      <color rgb="FF555555"/>
      <name val="Arial"/>
      <family val="0"/>
      <charset val="1"/>
    </font>
    <font>
      <sz val="8"/>
      <color rgb="FF1F3A5F"/>
      <name val="Arial"/>
      <family val="0"/>
      <charset val="1"/>
    </font>
    <font>
      <sz val="9"/>
      <color rgb="FF2E5A88"/>
      <name val="Arial"/>
      <family val="0"/>
      <charset val="1"/>
    </font>
    <font>
      <b val="true"/>
      <sz val="9.5"/>
      <color rgb="FFFFFFFF"/>
      <name val="Arial"/>
      <family val="0"/>
      <charset val="1"/>
    </font>
    <font>
      <b val="true"/>
      <sz val="10.5"/>
      <color rgb="FF1F3A5F"/>
      <name val="Arial"/>
      <family val="0"/>
      <charset val="1"/>
    </font>
    <font>
      <b val="true"/>
      <sz val="10"/>
      <color rgb="FF000000"/>
      <name val="Arial"/>
      <family val="0"/>
      <charset val="1"/>
    </font>
    <font>
      <sz val="9.5"/>
      <color rgb="FF333333"/>
      <name val="Arial"/>
      <family val="0"/>
      <charset val="1"/>
    </font>
    <font>
      <b val="true"/>
      <sz val="9.5"/>
      <color rgb="FF1F3A5F"/>
      <name val="Arial"/>
      <family val="0"/>
      <charset val="1"/>
    </font>
    <font>
      <i val="true"/>
      <sz val="8.5"/>
      <color rgb="FF2E5A88"/>
      <name val="Arial"/>
      <family val="0"/>
      <charset val="1"/>
    </font>
    <font>
      <sz val="8.5"/>
      <color rgb="FF2E5A88"/>
      <name val="Arial"/>
      <family val="0"/>
      <charset val="1"/>
    </font>
    <font>
      <sz val="10"/>
      <color rgb="FF1F3A5F"/>
      <name val="Arial"/>
      <family val="0"/>
      <charset val="1"/>
    </font>
    <font>
      <b val="true"/>
      <sz val="10"/>
      <color rgb="FF1F3A5F"/>
      <name val="Arial"/>
      <family val="0"/>
      <charset val="1"/>
    </font>
    <font>
      <i val="true"/>
      <sz val="8"/>
      <color rgb="FF4A4A4A"/>
      <name val="Arial"/>
      <family val="0"/>
      <charset val="1"/>
    </font>
    <font>
      <b val="true"/>
      <sz val="15"/>
      <color rgb="FFFFFFFF"/>
      <name val="Calibri"/>
      <family val="0"/>
      <charset val="1"/>
    </font>
    <font>
      <i val="true"/>
      <sz val="9"/>
      <color rgb="FF666666"/>
      <name val="Calibri"/>
      <family val="0"/>
      <charset val="1"/>
    </font>
    <font>
      <b val="true"/>
      <sz val="10"/>
      <color rgb="FFFFFFFF"/>
      <name val="Calibri"/>
      <family val="0"/>
      <charset val="1"/>
    </font>
    <font>
      <b val="true"/>
      <sz val="9"/>
      <color rgb="FF666666"/>
      <name val="Calibri"/>
      <family val="0"/>
      <charset val="1"/>
    </font>
    <font>
      <b val="true"/>
      <sz val="9"/>
      <color rgb="FF000000"/>
      <name val="Calibri"/>
      <family val="0"/>
      <charset val="1"/>
    </font>
    <font>
      <b val="true"/>
      <sz val="9"/>
      <color rgb="FFFFFFFF"/>
      <name val="Calibri"/>
      <family val="0"/>
      <charset val="1"/>
    </font>
    <font>
      <b val="true"/>
      <sz val="10"/>
      <color rgb="FF1F3864"/>
      <name val="Calibri"/>
      <family val="0"/>
      <charset val="1"/>
    </font>
    <font>
      <sz val="9"/>
      <color rgb="FF000000"/>
      <name val="Calibri"/>
      <family val="0"/>
      <charset val="1"/>
    </font>
    <font>
      <i val="true"/>
      <sz val="8"/>
      <color rgb="FF666666"/>
      <name val="Calibri"/>
      <family val="0"/>
      <charset val="1"/>
    </font>
    <font>
      <sz val="9"/>
      <color rgb="FF1A237E"/>
      <name val="Calibri"/>
      <family val="0"/>
      <charset val="1"/>
    </font>
    <font>
      <b val="true"/>
      <sz val="9"/>
      <color rgb="FF1A237E"/>
      <name val="Calibri"/>
      <family val="0"/>
      <charset val="1"/>
    </font>
    <font>
      <b val="true"/>
      <sz val="14"/>
      <color rgb="FFFFFFFF"/>
      <name val="Calibri"/>
      <family val="0"/>
      <charset val="1"/>
    </font>
    <font>
      <sz val="9"/>
      <color rgb="FF666666"/>
      <name val="Calibri"/>
      <family val="0"/>
      <charset val="1"/>
    </font>
    <font>
      <b val="true"/>
      <sz val="10"/>
      <color rgb="FF1A237E"/>
      <name val="Calibri"/>
      <family val="0"/>
      <charset val="1"/>
    </font>
    <font>
      <sz val="8"/>
      <color rgb="FF000000"/>
      <name val="Calibri"/>
      <family val="0"/>
      <charset val="1"/>
    </font>
    <font>
      <sz val="8"/>
      <color rgb="FF666666"/>
      <name val="Calibri"/>
      <family val="0"/>
      <charset val="1"/>
    </font>
    <font>
      <sz val="9"/>
      <color rgb="FF1B5E20"/>
      <name val="Calibri"/>
      <family val="0"/>
      <charset val="1"/>
    </font>
    <font>
      <b val="true"/>
      <sz val="9"/>
      <color rgb="FF1F3864"/>
      <name val="Calibri"/>
      <family val="0"/>
      <charset val="1"/>
    </font>
    <font>
      <b val="true"/>
      <sz val="11"/>
      <color rgb="FFFFFFFF"/>
      <name val="Calibri"/>
      <family val="0"/>
      <charset val="1"/>
    </font>
    <font>
      <b val="true"/>
      <sz val="12"/>
      <color rgb="FFFFFFFF"/>
      <name val="Calibri"/>
      <family val="0"/>
      <charset val="1"/>
    </font>
    <font>
      <sz val="10"/>
      <color rgb="FF1A237E"/>
      <name val="Calibri"/>
      <family val="0"/>
      <charset val="1"/>
    </font>
    <font>
      <b val="true"/>
      <sz val="10"/>
      <color rgb="FF000000"/>
      <name val="Calibri"/>
      <family val="0"/>
      <charset val="1"/>
    </font>
  </fonts>
  <fills count="26">
    <fill>
      <patternFill patternType="none"/>
    </fill>
    <fill>
      <patternFill patternType="gray125"/>
    </fill>
    <fill>
      <patternFill patternType="solid">
        <fgColor rgb="FFFFF8E1"/>
        <bgColor rgb="FFFFF7E0"/>
      </patternFill>
    </fill>
    <fill>
      <patternFill patternType="solid">
        <fgColor rgb="FF2E5A88"/>
        <bgColor rgb="FF2E5C8A"/>
      </patternFill>
    </fill>
    <fill>
      <patternFill patternType="solid">
        <fgColor rgb="FFEAF1F8"/>
        <bgColor rgb="FFEDF2F8"/>
      </patternFill>
    </fill>
    <fill>
      <patternFill patternType="solid">
        <fgColor rgb="FFFFFF00"/>
        <bgColor rgb="FFFFF176"/>
      </patternFill>
    </fill>
    <fill>
      <patternFill patternType="solid">
        <fgColor rgb="FFEDF2F8"/>
        <bgColor rgb="FFEAF1F8"/>
      </patternFill>
    </fill>
    <fill>
      <patternFill patternType="solid">
        <fgColor rgb="FFDCE6F2"/>
        <bgColor rgb="FFDCE6F1"/>
      </patternFill>
    </fill>
    <fill>
      <patternFill patternType="solid">
        <fgColor rgb="FFFBF6E7"/>
        <bgColor rgb="FFFFF7E0"/>
      </patternFill>
    </fill>
    <fill>
      <patternFill patternType="solid">
        <fgColor rgb="FFEFF4FA"/>
        <bgColor rgb="FFEDF2F8"/>
      </patternFill>
    </fill>
    <fill>
      <patternFill patternType="solid">
        <fgColor rgb="FFFFFDF6"/>
        <bgColor rgb="FFFFFFFF"/>
      </patternFill>
    </fill>
    <fill>
      <patternFill patternType="solid">
        <fgColor rgb="FFEFF6F1"/>
        <bgColor rgb="FFEFF4FA"/>
      </patternFill>
    </fill>
    <fill>
      <patternFill patternType="solid">
        <fgColor rgb="FFF7FAFB"/>
        <bgColor rgb="FFF4F8FC"/>
      </patternFill>
    </fill>
    <fill>
      <patternFill patternType="solid">
        <fgColor rgb="FFDCE6F1"/>
        <bgColor rgb="FFDCE6F2"/>
      </patternFill>
    </fill>
    <fill>
      <patternFill patternType="solid">
        <fgColor rgb="FFF2F2F2"/>
        <bgColor rgb="FFF5F5F5"/>
      </patternFill>
    </fill>
    <fill>
      <patternFill patternType="solid">
        <fgColor rgb="FF1F3A5F"/>
        <bgColor rgb="FF1F3864"/>
      </patternFill>
    </fill>
    <fill>
      <patternFill patternType="solid">
        <fgColor rgb="FFFFF7E0"/>
        <bgColor rgb="FFFFF8E1"/>
      </patternFill>
    </fill>
    <fill>
      <patternFill patternType="solid">
        <fgColor rgb="FF1F3864"/>
        <bgColor rgb="FF1F3A5F"/>
      </patternFill>
    </fill>
    <fill>
      <patternFill patternType="solid">
        <fgColor rgb="FF2E5C8A"/>
        <bgColor rgb="FF2E5A88"/>
      </patternFill>
    </fill>
    <fill>
      <patternFill patternType="solid">
        <fgColor rgb="FFE8EDF2"/>
        <bgColor rgb="FFEAF1F8"/>
      </patternFill>
    </fill>
    <fill>
      <patternFill patternType="solid">
        <fgColor rgb="FFFFF176"/>
        <bgColor rgb="FFE6DCB8"/>
      </patternFill>
    </fill>
    <fill>
      <patternFill patternType="solid">
        <fgColor rgb="FFD6E4F0"/>
        <bgColor rgb="FFD6E4F2"/>
      </patternFill>
    </fill>
    <fill>
      <patternFill patternType="solid">
        <fgColor rgb="FFFFFFFF"/>
        <bgColor rgb="FFFFFDF6"/>
      </patternFill>
    </fill>
    <fill>
      <patternFill patternType="solid">
        <fgColor rgb="FFF5F5F5"/>
        <bgColor rgb="FFF2F2F2"/>
      </patternFill>
    </fill>
    <fill>
      <patternFill patternType="solid">
        <fgColor rgb="FFF4F8FC"/>
        <bgColor rgb="FFF7FAFB"/>
      </patternFill>
    </fill>
    <fill>
      <patternFill patternType="solid">
        <fgColor rgb="FFC8DEFA"/>
        <bgColor rgb="FFD6E4F2"/>
      </patternFill>
    </fill>
  </fills>
  <borders count="19">
    <border diagonalUp="false" diagonalDown="false">
      <left/>
      <right/>
      <top/>
      <bottom/>
      <diagonal/>
    </border>
    <border diagonalUp="false" diagonalDown="false">
      <left style="thin">
        <color rgb="FFE6DCB8"/>
      </left>
      <right style="thin">
        <color rgb="FFE6DCB8"/>
      </right>
      <top style="thin">
        <color rgb="FFE6DCB8"/>
      </top>
      <bottom style="thin">
        <color rgb="FFE6DCB8"/>
      </bottom>
      <diagonal/>
    </border>
    <border diagonalUp="false" diagonalDown="false">
      <left/>
      <right/>
      <top/>
      <bottom style="medium">
        <color rgb="FF2E5A88"/>
      </bottom>
      <diagonal/>
    </border>
    <border diagonalUp="false" diagonalDown="false">
      <left/>
      <right/>
      <top/>
      <bottom style="thin">
        <color rgb="FF2E5A88"/>
      </bottom>
      <diagonal/>
    </border>
    <border diagonalUp="false" diagonalDown="false">
      <left/>
      <right/>
      <top/>
      <bottom style="thin">
        <color rgb="FFE2E6EA"/>
      </bottom>
      <diagonal/>
    </border>
    <border diagonalUp="false" diagonalDown="false">
      <left/>
      <right/>
      <top/>
      <bottom style="thin">
        <color rgb="FFE6DCB8"/>
      </bottom>
      <diagonal/>
    </border>
    <border diagonalUp="false" diagonalDown="false">
      <left/>
      <right/>
      <top/>
      <bottom style="thin">
        <color rgb="FFEFE7CC"/>
      </bottom>
      <diagonal/>
    </border>
    <border diagonalUp="false" diagonalDown="false">
      <left/>
      <right/>
      <top style="medium">
        <color rgb="FF1F3A5F"/>
      </top>
      <bottom/>
      <diagonal/>
    </border>
    <border diagonalUp="false" diagonalDown="false">
      <left/>
      <right/>
      <top style="thin">
        <color rgb="FF1F3A5F"/>
      </top>
      <bottom style="double">
        <color rgb="FF1F3A5F"/>
      </bottom>
      <diagonal/>
    </border>
    <border diagonalUp="false" diagonalDown="false">
      <left/>
      <right/>
      <top/>
      <bottom style="medium">
        <color rgb="FF1F3A5F"/>
      </bottom>
      <diagonal/>
    </border>
    <border diagonalUp="false" diagonalDown="false">
      <left style="thin">
        <color rgb="FFD9D9D9"/>
      </left>
      <right style="thin">
        <color rgb="FFD9D9D9"/>
      </right>
      <top style="thin">
        <color rgb="FFD9D9D9"/>
      </top>
      <bottom/>
      <diagonal/>
    </border>
    <border diagonalUp="false" diagonalDown="false">
      <left style="thin">
        <color rgb="FFD9D9D9"/>
      </left>
      <right style="thin">
        <color rgb="FFD9D9D9"/>
      </right>
      <top/>
      <bottom style="thin">
        <color rgb="FFD9D9D9"/>
      </bottom>
      <diagonal/>
    </border>
    <border diagonalUp="false" diagonalDown="false">
      <left style="thin">
        <color rgb="FFBFC7D0"/>
      </left>
      <right style="thin">
        <color rgb="FFBFC7D0"/>
      </right>
      <top style="thin">
        <color rgb="FFBFC7D0"/>
      </top>
      <bottom style="thin">
        <color rgb="FFBFC7D0"/>
      </bottom>
      <diagonal/>
    </border>
    <border diagonalUp="false" diagonalDown="false">
      <left style="thin">
        <color rgb="FFBFC7D0"/>
      </left>
      <right style="thin">
        <color rgb="FFBFC7D0"/>
      </right>
      <top style="medium">
        <color rgb="FF1F3A5F"/>
      </top>
      <bottom style="thin">
        <color rgb="FFBFC7D0"/>
      </bottom>
      <diagonal/>
    </border>
    <border diagonalUp="false" diagonalDown="false">
      <left style="thin">
        <color rgb="FFBFC7D0"/>
      </left>
      <right style="thin">
        <color rgb="FFBFC7D0"/>
      </right>
      <top style="medium">
        <color rgb="FF1F3A5F"/>
      </top>
      <bottom style="medium">
        <color rgb="FF1F3A5F"/>
      </bottom>
      <diagonal/>
    </border>
    <border diagonalUp="false" diagonalDown="false">
      <left/>
      <right/>
      <top/>
      <bottom style="thin"/>
      <diagonal/>
    </border>
    <border diagonalUp="false" diagonalDown="false">
      <left style="thin">
        <color rgb="FFBBBBBB"/>
      </left>
      <right style="thin">
        <color rgb="FFBBBBBB"/>
      </right>
      <top style="thin">
        <color rgb="FFBBBBBB"/>
      </top>
      <bottom style="thin">
        <color rgb="FFBBBBBB"/>
      </bottom>
      <diagonal/>
    </border>
    <border diagonalUp="false" diagonalDown="false">
      <left/>
      <right/>
      <top/>
      <bottom style="thin">
        <color rgb="FFCCCCCC"/>
      </bottom>
      <diagonal/>
    </border>
    <border diagonalUp="false" diagonalDown="false">
      <left style="medium">
        <color rgb="FF555555"/>
      </left>
      <right style="medium">
        <color rgb="FF555555"/>
      </right>
      <top style="medium">
        <color rgb="FF555555"/>
      </top>
      <bottom style="medium">
        <color rgb="FF55555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general" vertical="bottom" textRotation="0" wrapText="false" indent="0" shrinkToFit="false"/>
      <protection locked="true" hidden="false"/>
    </xf>
    <xf numFmtId="165" fontId="12" fillId="2"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6" fontId="12" fillId="2"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15" fillId="4" borderId="1" xfId="0" applyFont="true" applyBorder="true" applyAlignment="true" applyProtection="false">
      <alignment horizontal="center" vertical="center" textRotation="0" wrapText="false" indent="0" shrinkToFit="false"/>
      <protection locked="true" hidden="false"/>
    </xf>
    <xf numFmtId="167" fontId="12" fillId="5" borderId="1" xfId="0" applyFont="true" applyBorder="true" applyAlignment="true" applyProtection="false">
      <alignment horizontal="center" vertical="center" textRotation="0" wrapText="false" indent="0" shrinkToFit="false"/>
      <protection locked="true" hidden="false"/>
    </xf>
    <xf numFmtId="168" fontId="12" fillId="5" borderId="1" xfId="0" applyFont="true" applyBorder="true" applyAlignment="true" applyProtection="false">
      <alignment horizontal="center" vertical="center" textRotation="0" wrapText="false" indent="0" shrinkToFit="false"/>
      <protection locked="true" hidden="false"/>
    </xf>
    <xf numFmtId="169" fontId="6" fillId="4"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6" borderId="2" xfId="0" applyFont="true" applyBorder="true" applyAlignment="true" applyProtection="false">
      <alignment horizontal="center" vertical="center" textRotation="0" wrapText="false" indent="0" shrinkToFit="false"/>
      <protection locked="true" hidden="false"/>
    </xf>
    <xf numFmtId="164" fontId="19" fillId="6" borderId="2" xfId="0" applyFont="true" applyBorder="true" applyAlignment="true" applyProtection="false">
      <alignment horizontal="left" vertical="center" textRotation="0" wrapText="false" indent="0" shrinkToFit="false"/>
      <protection locked="true" hidden="false"/>
    </xf>
    <xf numFmtId="164" fontId="19" fillId="7" borderId="3" xfId="0" applyFont="true" applyBorder="true" applyAlignment="true" applyProtection="false">
      <alignment horizontal="center" vertical="center" textRotation="0" wrapText="false" indent="0" shrinkToFit="false"/>
      <protection locked="true" hidden="false"/>
    </xf>
    <xf numFmtId="164" fontId="20" fillId="7" borderId="3"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center" vertical="top"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21" fillId="0" borderId="4" xfId="0" applyFont="true" applyBorder="true" applyAlignment="true" applyProtection="false">
      <alignment horizontal="left" vertical="top" textRotation="0" wrapText="true" indent="0" shrinkToFit="false"/>
      <protection locked="true" hidden="false"/>
    </xf>
    <xf numFmtId="164" fontId="16" fillId="0" borderId="0" xfId="0" applyFont="true" applyBorder="true" applyAlignment="true" applyProtection="false">
      <alignment horizontal="right" vertical="center" textRotation="0" wrapText="false" indent="0" shrinkToFit="false"/>
      <protection locked="true" hidden="false"/>
    </xf>
    <xf numFmtId="164" fontId="17" fillId="0" borderId="0" xfId="0" applyFont="true" applyBorder="true" applyAlignment="true" applyProtection="false">
      <alignment horizontal="right" vertical="bottom" textRotation="0" wrapText="false" indent="0" shrinkToFit="false"/>
      <protection locked="true" hidden="false"/>
    </xf>
    <xf numFmtId="164" fontId="18" fillId="0" borderId="0" xfId="0" applyFont="true" applyBorder="true" applyAlignment="true" applyProtection="false">
      <alignment horizontal="right" vertical="bottom" textRotation="0" wrapText="false" indent="0" shrinkToFit="false"/>
      <protection locked="true" hidden="false"/>
    </xf>
    <xf numFmtId="164" fontId="22" fillId="8" borderId="0" xfId="0" applyFont="true" applyBorder="true" applyAlignment="true" applyProtection="false">
      <alignment horizontal="center" vertical="center" textRotation="0" wrapText="false" indent="0" shrinkToFit="false"/>
      <protection locked="true" hidden="false"/>
    </xf>
    <xf numFmtId="164" fontId="19" fillId="6" borderId="2" xfId="0" applyFont="true" applyBorder="true" applyAlignment="true" applyProtection="false">
      <alignment horizontal="center" vertical="center" textRotation="0" wrapText="true" indent="0" shrinkToFit="false"/>
      <protection locked="true" hidden="false"/>
    </xf>
    <xf numFmtId="164" fontId="19" fillId="6" borderId="2" xfId="0" applyFont="true" applyBorder="true" applyAlignment="true" applyProtection="false">
      <alignment horizontal="left" vertical="center" textRotation="0" wrapText="true" indent="0" shrinkToFit="false"/>
      <protection locked="true" hidden="false"/>
    </xf>
    <xf numFmtId="164" fontId="19" fillId="6" borderId="2" xfId="0" applyFont="true" applyBorder="true" applyAlignment="true" applyProtection="false">
      <alignment horizontal="right" vertical="center" textRotation="0" wrapText="true" indent="0" shrinkToFit="false"/>
      <protection locked="true" hidden="false"/>
    </xf>
    <xf numFmtId="164" fontId="22" fillId="8" borderId="5" xfId="0" applyFont="true" applyBorder="true" applyAlignment="true" applyProtection="false">
      <alignment horizontal="center" vertical="center" textRotation="0" wrapText="false" indent="0" shrinkToFit="false"/>
      <protection locked="true" hidden="false"/>
    </xf>
    <xf numFmtId="170" fontId="19" fillId="7" borderId="3" xfId="0" applyFont="true" applyBorder="true" applyAlignment="true" applyProtection="false">
      <alignment horizontal="right" vertical="center" textRotation="0" wrapText="false" indent="0" shrinkToFit="false"/>
      <protection locked="true" hidden="false"/>
    </xf>
    <xf numFmtId="164" fontId="23" fillId="9" borderId="0" xfId="0" applyFont="true" applyBorder="false" applyAlignment="true" applyProtection="false">
      <alignment horizontal="center" vertical="center" textRotation="0" wrapText="false" indent="0" shrinkToFit="false"/>
      <protection locked="true" hidden="false"/>
    </xf>
    <xf numFmtId="164" fontId="11" fillId="9" borderId="0" xfId="0" applyFont="true" applyBorder="true" applyAlignment="true" applyProtection="false">
      <alignment horizontal="left" vertical="center" textRotation="0" wrapText="false" indent="0" shrinkToFit="false"/>
      <protection locked="true" hidden="false"/>
    </xf>
    <xf numFmtId="170" fontId="11" fillId="9" borderId="0" xfId="0" applyFont="true" applyBorder="false" applyAlignment="true" applyProtection="false">
      <alignment horizontal="right" vertical="center" textRotation="0" wrapText="false" indent="0" shrinkToFit="false"/>
      <protection locked="true" hidden="false"/>
    </xf>
    <xf numFmtId="164" fontId="12" fillId="10" borderId="6" xfId="0" applyFont="true" applyBorder="true" applyAlignment="true" applyProtection="false">
      <alignment horizontal="center" vertical="center" textRotation="0" wrapText="false" indent="0" shrinkToFit="false"/>
      <protection locked="true" hidden="false"/>
    </xf>
    <xf numFmtId="164" fontId="12" fillId="10" borderId="0" xfId="0" applyFont="true" applyBorder="false" applyAlignment="true" applyProtection="false">
      <alignment horizontal="center" vertical="bottom" textRotation="0" wrapText="false" indent="0" shrinkToFit="false"/>
      <protection locked="true" hidden="false"/>
    </xf>
    <xf numFmtId="164" fontId="24" fillId="0" borderId="4" xfId="0" applyFont="true" applyBorder="true" applyAlignment="true" applyProtection="false">
      <alignment horizontal="center" vertical="center" textRotation="0" wrapText="false" indent="0" shrinkToFit="false"/>
      <protection locked="true" hidden="false"/>
    </xf>
    <xf numFmtId="164" fontId="24" fillId="0" borderId="4" xfId="0" applyFont="true" applyBorder="true" applyAlignment="true" applyProtection="false">
      <alignment horizontal="left" vertical="center" textRotation="0" wrapText="false" indent="3" shrinkToFit="false"/>
      <protection locked="true" hidden="false"/>
    </xf>
    <xf numFmtId="170" fontId="24" fillId="0" borderId="4" xfId="0" applyFont="true" applyBorder="true" applyAlignment="true" applyProtection="false">
      <alignment horizontal="right" vertical="center" textRotation="0" wrapText="false" indent="0" shrinkToFit="false"/>
      <protection locked="true" hidden="false"/>
    </xf>
    <xf numFmtId="164" fontId="24" fillId="0" borderId="4" xfId="0" applyFont="true" applyBorder="true" applyAlignment="true" applyProtection="false">
      <alignment horizontal="general" vertical="bottom" textRotation="0" wrapText="false" indent="0" shrinkToFit="false"/>
      <protection locked="true" hidden="false"/>
    </xf>
    <xf numFmtId="170" fontId="12" fillId="10" borderId="6" xfId="0" applyFont="true" applyBorder="true" applyAlignment="true" applyProtection="false">
      <alignment horizontal="right" vertical="center" textRotation="0" wrapText="false" indent="0" shrinkToFit="false"/>
      <protection locked="true" hidden="false"/>
    </xf>
    <xf numFmtId="167" fontId="12" fillId="10" borderId="6" xfId="0" applyFont="true" applyBorder="true" applyAlignment="true" applyProtection="false">
      <alignment horizontal="center" vertical="center" textRotation="0" wrapText="false" indent="0" shrinkToFit="false"/>
      <protection locked="true" hidden="false"/>
    </xf>
    <xf numFmtId="170" fontId="25" fillId="11" borderId="0" xfId="0" applyFont="true" applyBorder="false" applyAlignment="true" applyProtection="false">
      <alignment horizontal="right" vertical="center" textRotation="0" wrapText="false" indent="0" shrinkToFit="false"/>
      <protection locked="true" hidden="false"/>
    </xf>
    <xf numFmtId="164" fontId="26" fillId="12" borderId="0" xfId="0" applyFont="true" applyBorder="false" applyAlignment="true" applyProtection="false">
      <alignment horizontal="left" vertical="center"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left" vertical="center" textRotation="0" wrapText="false" indent="3" shrinkToFit="false"/>
      <protection locked="true" hidden="false"/>
    </xf>
    <xf numFmtId="170" fontId="24" fillId="0" borderId="0" xfId="0" applyFont="true" applyBorder="false" applyAlignment="true" applyProtection="false">
      <alignment horizontal="right" vertical="center"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7" fontId="6" fillId="10" borderId="6" xfId="0" applyFont="true" applyBorder="true" applyAlignment="true" applyProtection="false">
      <alignment horizontal="center" vertical="center" textRotation="0" wrapText="false" indent="0" shrinkToFit="false"/>
      <protection locked="true" hidden="false"/>
    </xf>
    <xf numFmtId="164" fontId="27" fillId="12" borderId="0" xfId="0" applyFont="true" applyBorder="false" applyAlignment="true" applyProtection="false">
      <alignment horizontal="left" vertical="center" textRotation="0" wrapText="false" indent="0" shrinkToFit="false"/>
      <protection locked="true" hidden="false"/>
    </xf>
    <xf numFmtId="164" fontId="14" fillId="0" borderId="7" xfId="0" applyFont="true" applyBorder="true" applyAlignment="true" applyProtection="false">
      <alignment horizontal="right" vertical="center" textRotation="0" wrapText="false" indent="0" shrinkToFit="false"/>
      <protection locked="true" hidden="false"/>
    </xf>
    <xf numFmtId="170" fontId="11" fillId="0" borderId="7" xfId="0" applyFont="true" applyBorder="true" applyAlignment="true" applyProtection="false">
      <alignment horizontal="right" vertical="center" textRotation="0" wrapText="false" indent="0" shrinkToFit="false"/>
      <protection locked="true" hidden="false"/>
    </xf>
    <xf numFmtId="164" fontId="28" fillId="8" borderId="0" xfId="0" applyFont="true" applyBorder="false" applyAlignment="true" applyProtection="false">
      <alignment horizontal="general" vertical="bottom" textRotation="0" wrapText="false" indent="0" shrinkToFit="false"/>
      <protection locked="true" hidden="false"/>
    </xf>
    <xf numFmtId="170" fontId="0" fillId="10" borderId="0" xfId="0" applyFont="fals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right" vertical="center" textRotation="0" wrapText="false" indent="0" shrinkToFit="false"/>
      <protection locked="true" hidden="false"/>
    </xf>
    <xf numFmtId="164" fontId="11" fillId="0" borderId="0" xfId="0" applyFont="true" applyBorder="false" applyAlignment="true" applyProtection="false">
      <alignment horizontal="right" vertical="center" textRotation="0" wrapText="false" indent="0" shrinkToFit="false"/>
      <protection locked="true" hidden="false"/>
    </xf>
    <xf numFmtId="170" fontId="0" fillId="0" borderId="0" xfId="0" applyFont="false" applyBorder="false" applyAlignment="true" applyProtection="false">
      <alignment horizontal="right" vertical="center" textRotation="0" wrapText="false" indent="0" shrinkToFit="false"/>
      <protection locked="true" hidden="false"/>
    </xf>
    <xf numFmtId="167" fontId="0" fillId="10"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70" fontId="5" fillId="0" borderId="8" xfId="0" applyFont="true" applyBorder="true" applyAlignment="true" applyProtection="false">
      <alignment horizontal="right" vertical="center" textRotation="0" wrapText="false" indent="0" shrinkToFit="false"/>
      <protection locked="true" hidden="false"/>
    </xf>
    <xf numFmtId="164" fontId="26" fillId="0" borderId="0" xfId="0" applyFont="true" applyBorder="true" applyAlignment="true" applyProtection="false">
      <alignment horizontal="general" vertical="bottom" textRotation="0" wrapText="false" indent="0" shrinkToFit="false"/>
      <protection locked="true" hidden="false"/>
    </xf>
    <xf numFmtId="164" fontId="14" fillId="13" borderId="9" xfId="0" applyFont="true" applyBorder="true" applyAlignment="true" applyProtection="false">
      <alignment horizontal="center" vertical="center" textRotation="0" wrapText="false" indent="0" shrinkToFit="false"/>
      <protection locked="true" hidden="false"/>
    </xf>
    <xf numFmtId="164" fontId="14" fillId="13" borderId="9" xfId="0" applyFont="true" applyBorder="true" applyAlignment="true" applyProtection="false">
      <alignment horizontal="left" vertical="center" textRotation="0" wrapText="false" indent="0" shrinkToFit="false"/>
      <protection locked="true" hidden="false"/>
    </xf>
    <xf numFmtId="164" fontId="14" fillId="13" borderId="9" xfId="0" applyFont="true" applyBorder="true" applyAlignment="true" applyProtection="false">
      <alignment horizontal="right" vertical="center" textRotation="0" wrapText="false" indent="0" shrinkToFit="false"/>
      <protection locked="true" hidden="false"/>
    </xf>
    <xf numFmtId="164" fontId="30" fillId="0" borderId="4" xfId="0" applyFont="true" applyBorder="true" applyAlignment="true" applyProtection="false">
      <alignment horizontal="center" vertical="center" textRotation="0" wrapText="false" indent="0" shrinkToFit="false"/>
      <protection locked="true" hidden="false"/>
    </xf>
    <xf numFmtId="164" fontId="6" fillId="0" borderId="4" xfId="0" applyFont="true" applyBorder="true" applyAlignment="true" applyProtection="false">
      <alignment horizontal="left" vertical="center" textRotation="0" wrapText="false" indent="0" shrinkToFit="false"/>
      <protection locked="true" hidden="false"/>
    </xf>
    <xf numFmtId="170" fontId="30" fillId="0" borderId="4" xfId="0" applyFont="true" applyBorder="true" applyAlignment="true" applyProtection="false">
      <alignment horizontal="right" vertical="center" textRotation="0" wrapText="false" indent="0" shrinkToFit="false"/>
      <protection locked="true" hidden="false"/>
    </xf>
    <xf numFmtId="170" fontId="12" fillId="0" borderId="4" xfId="0" applyFont="true" applyBorder="true" applyAlignment="true" applyProtection="false">
      <alignment horizontal="right" vertical="center" textRotation="0" wrapText="false" indent="0" shrinkToFit="false"/>
      <protection locked="true" hidden="false"/>
    </xf>
    <xf numFmtId="170" fontId="6" fillId="0" borderId="4" xfId="0" applyFont="true" applyBorder="true" applyAlignment="true" applyProtection="false">
      <alignment horizontal="right" vertical="center" textRotation="0" wrapText="false" indent="0" shrinkToFit="false"/>
      <protection locked="true" hidden="false"/>
    </xf>
    <xf numFmtId="164" fontId="31" fillId="0" borderId="4" xfId="0" applyFont="true" applyBorder="true" applyAlignment="true" applyProtection="false">
      <alignment horizontal="general" vertical="bottom" textRotation="0" wrapText="false" indent="0" shrinkToFit="false"/>
      <protection locked="true" hidden="false"/>
    </xf>
    <xf numFmtId="170" fontId="14" fillId="0" borderId="7" xfId="0" applyFont="true" applyBorder="true" applyAlignment="true" applyProtection="false">
      <alignment horizontal="right" vertical="center" textRotation="0" wrapText="false" indent="0" shrinkToFit="false"/>
      <protection locked="true" hidden="false"/>
    </xf>
    <xf numFmtId="164" fontId="5" fillId="13" borderId="9" xfId="0" applyFont="true" applyBorder="true" applyAlignment="true" applyProtection="false">
      <alignment horizontal="left" vertical="center" textRotation="0" wrapText="false" indent="0" shrinkToFit="false"/>
      <protection locked="true" hidden="false"/>
    </xf>
    <xf numFmtId="164" fontId="14" fillId="13" borderId="9" xfId="0" applyFont="true" applyBorder="true" applyAlignment="true" applyProtection="false">
      <alignment horizontal="center" vertical="center" textRotation="0" wrapText="true" indent="0" shrinkToFit="false"/>
      <protection locked="true" hidden="false"/>
    </xf>
    <xf numFmtId="164" fontId="6" fillId="9" borderId="4" xfId="0" applyFont="true" applyBorder="true" applyAlignment="true" applyProtection="false">
      <alignment horizontal="center" vertical="center" textRotation="0" wrapText="false" indent="0" shrinkToFit="false"/>
      <protection locked="true" hidden="false"/>
    </xf>
    <xf numFmtId="164" fontId="14" fillId="9" borderId="4" xfId="0" applyFont="true" applyBorder="true" applyAlignment="true" applyProtection="false">
      <alignment horizontal="left" vertical="center" textRotation="0" wrapText="false" indent="0" shrinkToFit="false"/>
      <protection locked="true" hidden="false"/>
    </xf>
    <xf numFmtId="164" fontId="14" fillId="9" borderId="4" xfId="0" applyFont="true" applyBorder="true" applyAlignment="true" applyProtection="false">
      <alignment horizontal="center" vertical="center" textRotation="0" wrapText="false" indent="0" shrinkToFit="false"/>
      <protection locked="true" hidden="false"/>
    </xf>
    <xf numFmtId="171" fontId="14" fillId="9" borderId="4" xfId="0" applyFont="true" applyBorder="true" applyAlignment="true" applyProtection="false">
      <alignment horizontal="center" vertical="center" textRotation="0" wrapText="false" indent="0" shrinkToFit="false"/>
      <protection locked="true" hidden="false"/>
    </xf>
    <xf numFmtId="164" fontId="32" fillId="9" borderId="4" xfId="0" applyFont="true" applyBorder="true" applyAlignment="true" applyProtection="false">
      <alignment horizontal="center" vertical="center" textRotation="0" wrapText="false" indent="0" shrinkToFit="false"/>
      <protection locked="true" hidden="false"/>
    </xf>
    <xf numFmtId="172" fontId="14" fillId="9" borderId="4" xfId="0" applyFont="true" applyBorder="true" applyAlignment="true" applyProtection="false">
      <alignment horizontal="center" vertical="center" textRotation="0" wrapText="false" indent="0" shrinkToFit="false"/>
      <protection locked="true" hidden="false"/>
    </xf>
    <xf numFmtId="164" fontId="32" fillId="0" borderId="4" xfId="0" applyFont="true" applyBorder="true" applyAlignment="true" applyProtection="false">
      <alignment horizontal="center" vertical="center" textRotation="0" wrapText="false" indent="0" shrinkToFit="false"/>
      <protection locked="true" hidden="false"/>
    </xf>
    <xf numFmtId="164" fontId="32" fillId="0" borderId="4" xfId="0" applyFont="true" applyBorder="true" applyAlignment="true" applyProtection="true">
      <alignment horizontal="left" vertical="center" textRotation="0" wrapText="false" indent="0" shrinkToFit="false"/>
      <protection locked="false" hidden="false"/>
    </xf>
    <xf numFmtId="164" fontId="12" fillId="0" borderId="4" xfId="0" applyFont="true" applyBorder="true" applyAlignment="true" applyProtection="true">
      <alignment horizontal="center" vertical="center" textRotation="0" wrapText="false" indent="0" shrinkToFit="false"/>
      <protection locked="false" hidden="false"/>
    </xf>
    <xf numFmtId="171" fontId="6" fillId="0" borderId="4" xfId="0" applyFont="true" applyBorder="true" applyAlignment="true" applyProtection="false">
      <alignment horizontal="center" vertical="center" textRotation="0" wrapText="false" indent="0" shrinkToFit="false"/>
      <protection locked="true" hidden="false"/>
    </xf>
    <xf numFmtId="164" fontId="32" fillId="0" borderId="4" xfId="0" applyFont="true" applyBorder="true" applyAlignment="true" applyProtection="true">
      <alignment horizontal="center" vertical="center" textRotation="0" wrapText="false" indent="0" shrinkToFit="false"/>
      <protection locked="false" hidden="false"/>
    </xf>
    <xf numFmtId="172" fontId="12" fillId="0" borderId="4" xfId="0" applyFont="true" applyBorder="true" applyAlignment="true" applyProtection="true">
      <alignment horizontal="center" vertical="center" textRotation="0" wrapText="false" indent="0" shrinkToFit="false"/>
      <protection locked="false" hidden="false"/>
    </xf>
    <xf numFmtId="164" fontId="32" fillId="0" borderId="4" xfId="0" applyFont="true" applyBorder="true" applyAlignment="true" applyProtection="false">
      <alignment horizontal="general" vertical="bottom" textRotation="0" wrapText="false" indent="0" shrinkToFit="false"/>
      <protection locked="true" hidden="false"/>
    </xf>
    <xf numFmtId="164" fontId="32" fillId="0" borderId="4" xfId="0" applyFont="true" applyBorder="true" applyAlignment="true" applyProtection="true">
      <alignment horizontal="general" vertical="bottom" textRotation="0" wrapText="false" indent="0" shrinkToFit="false"/>
      <protection locked="false" hidden="false"/>
    </xf>
    <xf numFmtId="164" fontId="32" fillId="9" borderId="4" xfId="0" applyFont="true" applyBorder="true" applyAlignment="true" applyProtection="false">
      <alignment horizontal="general" vertical="bottom" textRotation="0" wrapText="false" indent="0" shrinkToFit="false"/>
      <protection locked="true" hidden="false"/>
    </xf>
    <xf numFmtId="164" fontId="32" fillId="0" borderId="4" xfId="0" applyFont="true" applyBorder="true" applyAlignment="true" applyProtection="false">
      <alignment horizontal="left" vertical="center"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left"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71" fontId="32" fillId="0" borderId="0" xfId="0" applyFont="true" applyBorder="false" applyAlignment="true" applyProtection="false">
      <alignment horizontal="center" vertical="center" textRotation="0" wrapText="false" indent="0" shrinkToFit="false"/>
      <protection locked="true" hidden="false"/>
    </xf>
    <xf numFmtId="172" fontId="32" fillId="0" borderId="0" xfId="0" applyFont="true" applyBorder="false" applyAlignment="true" applyProtection="false">
      <alignment horizontal="center" vertical="center" textRotation="0" wrapText="false" indent="0" shrinkToFit="false"/>
      <protection locked="true" hidden="false"/>
    </xf>
    <xf numFmtId="164" fontId="32" fillId="0" borderId="0" xfId="0" applyFont="true" applyBorder="false" applyAlignment="true" applyProtection="false">
      <alignment horizontal="right" vertical="bottom" textRotation="0" wrapText="false" indent="0" shrinkToFit="false"/>
      <protection locked="true" hidden="false"/>
    </xf>
    <xf numFmtId="173" fontId="34" fillId="0" borderId="0" xfId="0" applyFont="true" applyBorder="true" applyAlignment="true" applyProtection="false">
      <alignment horizontal="left" vertical="center" textRotation="0" wrapText="false" indent="0" shrinkToFit="false"/>
      <protection locked="true" hidden="false"/>
    </xf>
    <xf numFmtId="174" fontId="35" fillId="0" borderId="10" xfId="0" applyFont="true" applyBorder="true" applyAlignment="true" applyProtection="false">
      <alignment horizontal="left" vertical="top" textRotation="0" wrapText="false" indent="0" shrinkToFit="false"/>
      <protection locked="true" hidden="false"/>
    </xf>
    <xf numFmtId="174" fontId="35" fillId="14" borderId="10" xfId="0" applyFont="true" applyBorder="true" applyAlignment="true" applyProtection="false">
      <alignment horizontal="left" vertical="top" textRotation="0" wrapText="false" indent="0" shrinkToFit="false"/>
      <protection locked="true" hidden="false"/>
    </xf>
    <xf numFmtId="164" fontId="36" fillId="0" borderId="11" xfId="0" applyFont="true" applyBorder="true" applyAlignment="true" applyProtection="false">
      <alignment horizontal="left" vertical="top" textRotation="0" wrapText="true" indent="0" shrinkToFit="false"/>
      <protection locked="true" hidden="false"/>
    </xf>
    <xf numFmtId="164" fontId="36" fillId="14" borderId="11" xfId="0" applyFont="true" applyBorder="true" applyAlignment="true" applyProtection="false">
      <alignment horizontal="left" vertical="top" textRotation="0" wrapText="true" indent="0" shrinkToFit="false"/>
      <protection locked="true" hidden="false"/>
    </xf>
    <xf numFmtId="173" fontId="34" fillId="0" borderId="0" xfId="0" applyFont="true" applyBorder="false" applyAlignment="true" applyProtection="false">
      <alignment horizontal="left" vertical="center" textRotation="0" wrapText="false" indent="0" shrinkToFit="false"/>
      <protection locked="true" hidden="false"/>
    </xf>
    <xf numFmtId="164" fontId="30" fillId="0" borderId="4"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15" borderId="12" xfId="0" applyFont="true" applyBorder="true" applyAlignment="true" applyProtection="false">
      <alignment horizontal="center" vertical="center" textRotation="0" wrapText="true" indent="0" shrinkToFit="false"/>
      <protection locked="true" hidden="false"/>
    </xf>
    <xf numFmtId="164" fontId="39" fillId="7" borderId="13" xfId="0" applyFont="true" applyBorder="true" applyAlignment="true" applyProtection="false">
      <alignment horizontal="general" vertical="bottom" textRotation="0" wrapText="false" indent="0" shrinkToFit="false"/>
      <protection locked="true" hidden="false"/>
    </xf>
    <xf numFmtId="170" fontId="39" fillId="7" borderId="13" xfId="0" applyFont="true" applyBorder="true" applyAlignment="true" applyProtection="false">
      <alignment horizontal="general" vertical="bottom" textRotation="0" wrapText="false" indent="0" shrinkToFit="false"/>
      <protection locked="true" hidden="false"/>
    </xf>
    <xf numFmtId="164" fontId="0" fillId="7" borderId="13" xfId="0" applyFont="false" applyBorder="true" applyAlignment="true" applyProtection="false">
      <alignment horizontal="general" vertical="bottom" textRotation="0" wrapText="false" indent="0" shrinkToFit="false"/>
      <protection locked="true" hidden="false"/>
    </xf>
    <xf numFmtId="167" fontId="39" fillId="7" borderId="13" xfId="0" applyFont="true" applyBorder="true" applyAlignment="true" applyProtection="false">
      <alignment horizontal="general" vertical="bottom" textRotation="0" wrapText="false" indent="0" shrinkToFit="false"/>
      <protection locked="true" hidden="false"/>
    </xf>
    <xf numFmtId="164" fontId="40" fillId="9" borderId="12" xfId="0" applyFont="true" applyBorder="true" applyAlignment="true" applyProtection="false">
      <alignment horizontal="center" vertical="bottom" textRotation="0" wrapText="false" indent="0" shrinkToFit="false"/>
      <protection locked="true" hidden="false"/>
    </xf>
    <xf numFmtId="164" fontId="40" fillId="9" borderId="12" xfId="0" applyFont="true" applyBorder="true" applyAlignment="true" applyProtection="false">
      <alignment horizontal="general" vertical="bottom" textRotation="0" wrapText="false" indent="0" shrinkToFit="false"/>
      <protection locked="true" hidden="false"/>
    </xf>
    <xf numFmtId="170" fontId="40" fillId="9" borderId="12" xfId="0" applyFont="true" applyBorder="true" applyAlignment="true" applyProtection="false">
      <alignment horizontal="general" vertical="bottom" textRotation="0" wrapText="false" indent="0" shrinkToFit="false"/>
      <protection locked="true" hidden="false"/>
    </xf>
    <xf numFmtId="164" fontId="0" fillId="9" borderId="12" xfId="0" applyFont="false" applyBorder="true" applyAlignment="true" applyProtection="false">
      <alignment horizontal="general" vertical="bottom" textRotation="0" wrapText="false" indent="0" shrinkToFit="false"/>
      <protection locked="true" hidden="false"/>
    </xf>
    <xf numFmtId="167" fontId="40" fillId="9" borderId="12" xfId="0" applyFont="true" applyBorder="true" applyAlignment="true" applyProtection="false">
      <alignment horizontal="general" vertical="bottom" textRotation="0" wrapText="false" indent="0" shrinkToFit="false"/>
      <protection locked="true" hidden="false"/>
    </xf>
    <xf numFmtId="164" fontId="0" fillId="0" borderId="12" xfId="0" applyFont="false" applyBorder="true" applyAlignment="true" applyProtection="false">
      <alignment horizontal="general" vertical="bottom" textRotation="0" wrapText="false" indent="0" shrinkToFit="false"/>
      <protection locked="true" hidden="false"/>
    </xf>
    <xf numFmtId="164" fontId="24" fillId="0" borderId="12" xfId="0" applyFont="true" applyBorder="true" applyAlignment="true" applyProtection="false">
      <alignment horizontal="left" vertical="bottom" textRotation="0" wrapText="false" indent="2" shrinkToFit="false"/>
      <protection locked="true" hidden="false"/>
    </xf>
    <xf numFmtId="170" fontId="41" fillId="0" borderId="12" xfId="0" applyFont="true" applyBorder="true" applyAlignment="true" applyProtection="false">
      <alignment horizontal="general" vertical="bottom" textRotation="0" wrapText="false" indent="0" shrinkToFit="false"/>
      <protection locked="true" hidden="false"/>
    </xf>
    <xf numFmtId="170" fontId="42" fillId="0" borderId="12" xfId="0" applyFont="true" applyBorder="true" applyAlignment="true" applyProtection="false">
      <alignment horizontal="general" vertical="bottom" textRotation="0" wrapText="false" indent="0" shrinkToFit="false"/>
      <protection locked="true" hidden="false"/>
    </xf>
    <xf numFmtId="167" fontId="41" fillId="0" borderId="12" xfId="0" applyFont="true" applyBorder="true" applyAlignment="true" applyProtection="false">
      <alignment horizontal="general" vertical="bottom" textRotation="0" wrapText="false" indent="0" shrinkToFit="false"/>
      <protection locked="true" hidden="false"/>
    </xf>
    <xf numFmtId="164" fontId="0" fillId="0" borderId="14" xfId="0" applyFont="false" applyBorder="true" applyAlignment="true" applyProtection="false">
      <alignment horizontal="general" vertical="bottom" textRotation="0" wrapText="false" indent="0" shrinkToFit="false"/>
      <protection locked="true" hidden="false"/>
    </xf>
    <xf numFmtId="164" fontId="14" fillId="0" borderId="14" xfId="0" applyFont="true" applyBorder="true" applyAlignment="true" applyProtection="false">
      <alignment horizontal="general" vertical="bottom" textRotation="0" wrapText="false" indent="0" shrinkToFit="false"/>
      <protection locked="true" hidden="false"/>
    </xf>
    <xf numFmtId="170" fontId="14" fillId="0" borderId="14" xfId="0" applyFont="true" applyBorder="true" applyAlignment="true" applyProtection="false">
      <alignment horizontal="general" vertical="bottom" textRotation="0" wrapText="false" indent="0" shrinkToFit="false"/>
      <protection locked="true" hidden="false"/>
    </xf>
    <xf numFmtId="167" fontId="14" fillId="0" borderId="14" xfId="0" applyFont="true" applyBorder="tru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right" vertical="bottom" textRotation="0" wrapText="false" indent="0" shrinkToFit="false"/>
      <protection locked="true" hidden="false"/>
    </xf>
    <xf numFmtId="175" fontId="44" fillId="0" borderId="12" xfId="0" applyFont="true" applyBorder="true" applyAlignment="true" applyProtection="false">
      <alignment horizontal="center" vertical="bottom" textRotation="0" wrapText="false" indent="0" shrinkToFit="false"/>
      <protection locked="true" hidden="false"/>
    </xf>
    <xf numFmtId="164" fontId="38" fillId="15" borderId="12" xfId="0" applyFont="true" applyBorder="true" applyAlignment="true" applyProtection="false">
      <alignment horizontal="center" vertical="bottom" textRotation="0" wrapText="false" indent="0" shrinkToFit="false"/>
      <protection locked="true" hidden="false"/>
    </xf>
    <xf numFmtId="164" fontId="10" fillId="15" borderId="12" xfId="0" applyFont="true" applyBorder="true" applyAlignment="true" applyProtection="false">
      <alignment horizontal="center" vertical="center" textRotation="0" wrapText="false" indent="0" shrinkToFit="false"/>
      <protection locked="true" hidden="false"/>
    </xf>
    <xf numFmtId="164" fontId="0" fillId="15" borderId="12" xfId="0" applyFont="false" applyBorder="true" applyAlignment="true" applyProtection="false">
      <alignment horizontal="general" vertical="bottom" textRotation="0" wrapText="false" indent="0" shrinkToFit="false"/>
      <protection locked="true" hidden="false"/>
    </xf>
    <xf numFmtId="164" fontId="45" fillId="0" borderId="12" xfId="0" applyFont="true" applyBorder="true" applyAlignment="true" applyProtection="false">
      <alignment horizontal="left" vertical="center" textRotation="0" wrapText="false" indent="0" shrinkToFit="false"/>
      <protection locked="true" hidden="false"/>
    </xf>
    <xf numFmtId="170" fontId="14" fillId="0" borderId="12" xfId="0" applyFont="true" applyBorder="true" applyAlignment="true" applyProtection="false">
      <alignment horizontal="general" vertical="bottom" textRotation="0" wrapText="false" indent="0" shrinkToFit="false"/>
      <protection locked="true" hidden="false"/>
    </xf>
    <xf numFmtId="164" fontId="41" fillId="0" borderId="12" xfId="0" applyFont="true" applyBorder="true" applyAlignment="true" applyProtection="false">
      <alignment horizontal="center" vertical="bottom" textRotation="0" wrapText="false" indent="0" shrinkToFit="false"/>
      <protection locked="true" hidden="false"/>
    </xf>
    <xf numFmtId="170" fontId="14" fillId="16" borderId="12" xfId="0" applyFont="true" applyBorder="true" applyAlignment="true" applyProtection="false">
      <alignment horizontal="general" vertical="bottom" textRotation="0" wrapText="false" indent="0" shrinkToFit="false"/>
      <protection locked="true" hidden="false"/>
    </xf>
    <xf numFmtId="164" fontId="0" fillId="0" borderId="13" xfId="0" applyFont="false" applyBorder="true" applyAlignment="true" applyProtection="false">
      <alignment horizontal="general" vertical="bottom" textRotation="0" wrapText="false" indent="0" shrinkToFit="false"/>
      <protection locked="true" hidden="false"/>
    </xf>
    <xf numFmtId="164" fontId="14" fillId="0" borderId="13" xfId="0" applyFont="true" applyBorder="true" applyAlignment="true" applyProtection="false">
      <alignment horizontal="general" vertical="bottom" textRotation="0" wrapText="false" indent="0" shrinkToFit="false"/>
      <protection locked="true" hidden="false"/>
    </xf>
    <xf numFmtId="170" fontId="14" fillId="0" borderId="13" xfId="0" applyFont="true" applyBorder="true" applyAlignment="true" applyProtection="false">
      <alignment horizontal="general" vertical="bottom" textRotation="0" wrapText="false" indent="0" shrinkToFit="false"/>
      <protection locked="true" hidden="false"/>
    </xf>
    <xf numFmtId="164" fontId="38" fillId="15" borderId="12" xfId="0" applyFont="true" applyBorder="true" applyAlignment="true" applyProtection="false">
      <alignment horizontal="center" vertical="center" textRotation="0" wrapText="false" indent="0" shrinkToFit="false"/>
      <protection locked="true" hidden="false"/>
    </xf>
    <xf numFmtId="164" fontId="46" fillId="0" borderId="0" xfId="0" applyFont="true" applyBorder="true" applyAlignment="true" applyProtection="false">
      <alignment horizontal="general" vertical="bottom" textRotation="0" wrapText="false" indent="0" shrinkToFit="false"/>
      <protection locked="true" hidden="false"/>
    </xf>
    <xf numFmtId="164" fontId="0" fillId="0" borderId="15" xfId="0" applyFont="false" applyBorder="tru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right"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8" fillId="17" borderId="16" xfId="0" applyFont="true" applyBorder="true" applyAlignment="true" applyProtection="false">
      <alignment horizontal="center" vertical="center" textRotation="0" wrapText="false" indent="0" shrinkToFit="false"/>
      <protection locked="true" hidden="false"/>
    </xf>
    <xf numFmtId="164" fontId="49" fillId="0" borderId="0" xfId="0" applyFont="true" applyBorder="true" applyAlignment="true" applyProtection="false">
      <alignment horizontal="center" vertical="center" textRotation="0" wrapText="false" indent="0" shrinkToFit="false"/>
      <protection locked="true" hidden="false"/>
    </xf>
    <xf numFmtId="164" fontId="50" fillId="18" borderId="16" xfId="0" applyFont="true" applyBorder="true" applyAlignment="true" applyProtection="false">
      <alignment horizontal="center" vertical="center" textRotation="0" wrapText="false" indent="0" shrinkToFit="false"/>
      <protection locked="true" hidden="false"/>
    </xf>
    <xf numFmtId="164" fontId="0" fillId="19" borderId="0" xfId="0" applyFont="fals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right" vertical="center" textRotation="0" wrapText="false" indent="0" shrinkToFit="false"/>
      <protection locked="true" hidden="false"/>
    </xf>
    <xf numFmtId="164" fontId="30" fillId="0" borderId="17" xfId="0" applyFont="true" applyBorder="true" applyAlignment="tru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right" vertical="center" textRotation="0" wrapText="false" indent="0" shrinkToFit="false"/>
      <protection locked="true" hidden="false"/>
    </xf>
    <xf numFmtId="165" fontId="30" fillId="20" borderId="18" xfId="0" applyFont="true" applyBorder="true" applyAlignment="true" applyProtection="false">
      <alignment horizontal="center" vertical="center" textRotation="0" wrapText="false" indent="0" shrinkToFit="false"/>
      <protection locked="true" hidden="false"/>
    </xf>
    <xf numFmtId="164" fontId="0" fillId="0" borderId="17" xfId="0" applyFont="false" applyBorder="true" applyAlignment="true" applyProtection="false">
      <alignment horizontal="general" vertical="bottom" textRotation="0" wrapText="false" indent="0" shrinkToFit="false"/>
      <protection locked="true" hidden="false"/>
    </xf>
    <xf numFmtId="169" fontId="30" fillId="0" borderId="17" xfId="0" applyFont="true" applyBorder="true" applyAlignment="true" applyProtection="false">
      <alignment horizontal="general" vertical="bottom" textRotation="0" wrapText="false" indent="0" shrinkToFit="false"/>
      <protection locked="true" hidden="false"/>
    </xf>
    <xf numFmtId="164" fontId="50" fillId="17" borderId="16" xfId="0" applyFont="true" applyBorder="true" applyAlignment="true" applyProtection="false">
      <alignment horizontal="center" vertical="center" textRotation="0" wrapText="false" indent="0" shrinkToFit="false"/>
      <protection locked="true" hidden="false"/>
    </xf>
    <xf numFmtId="164" fontId="50" fillId="17" borderId="16" xfId="0" applyFont="true" applyBorder="true" applyAlignment="true" applyProtection="false">
      <alignment horizontal="left" vertical="center" textRotation="0" wrapText="false" indent="0" shrinkToFit="false"/>
      <protection locked="true" hidden="false"/>
    </xf>
    <xf numFmtId="164" fontId="53" fillId="17" borderId="16" xfId="0" applyFont="true" applyBorder="true" applyAlignment="true" applyProtection="false">
      <alignment horizontal="left" vertical="center" textRotation="0" wrapText="false" indent="0" shrinkToFit="false"/>
      <protection locked="true" hidden="false"/>
    </xf>
    <xf numFmtId="164" fontId="54" fillId="21" borderId="16" xfId="0" applyFont="true" applyBorder="true" applyAlignment="true" applyProtection="false">
      <alignment horizontal="left" vertical="center" textRotation="0" wrapText="false" indent="0" shrinkToFit="false"/>
      <protection locked="true" hidden="false"/>
    </xf>
    <xf numFmtId="164" fontId="55" fillId="22" borderId="16" xfId="0" applyFont="true" applyBorder="true" applyAlignment="true" applyProtection="false">
      <alignment horizontal="center" vertical="center" textRotation="0" wrapText="false" indent="0" shrinkToFit="false"/>
      <protection locked="true" hidden="false"/>
    </xf>
    <xf numFmtId="164" fontId="55" fillId="22" borderId="16" xfId="0" applyFont="true" applyBorder="true" applyAlignment="true" applyProtection="false">
      <alignment horizontal="left" vertical="center" textRotation="0" wrapText="false" indent="0" shrinkToFit="false"/>
      <protection locked="true" hidden="false"/>
    </xf>
    <xf numFmtId="164" fontId="55" fillId="22" borderId="16" xfId="0" applyFont="true" applyBorder="true" applyAlignment="true" applyProtection="false">
      <alignment horizontal="left" vertical="center" textRotation="0" wrapText="true" indent="0" shrinkToFit="false"/>
      <protection locked="true" hidden="false"/>
    </xf>
    <xf numFmtId="176" fontId="55" fillId="22" borderId="16" xfId="0" applyFont="true" applyBorder="true" applyAlignment="true" applyProtection="false">
      <alignment horizontal="center" vertical="center" textRotation="0" wrapText="false" indent="0" shrinkToFit="false"/>
      <protection locked="true" hidden="false"/>
    </xf>
    <xf numFmtId="164" fontId="56" fillId="23" borderId="0" xfId="0" applyFont="true" applyBorder="false" applyAlignment="true" applyProtection="false">
      <alignment horizontal="left" vertical="center" textRotation="0" wrapText="false" indent="0" shrinkToFit="false"/>
      <protection locked="true" hidden="false"/>
    </xf>
    <xf numFmtId="164" fontId="55" fillId="24" borderId="16" xfId="0" applyFont="true" applyBorder="true" applyAlignment="true" applyProtection="false">
      <alignment horizontal="center" vertical="center" textRotation="0" wrapText="false" indent="0" shrinkToFit="false"/>
      <protection locked="true" hidden="false"/>
    </xf>
    <xf numFmtId="164" fontId="55" fillId="24" borderId="16" xfId="0" applyFont="true" applyBorder="true" applyAlignment="true" applyProtection="false">
      <alignment horizontal="left" vertical="center" textRotation="0" wrapText="false" indent="0" shrinkToFit="false"/>
      <protection locked="true" hidden="false"/>
    </xf>
    <xf numFmtId="164" fontId="55" fillId="24" borderId="16" xfId="0" applyFont="true" applyBorder="true" applyAlignment="true" applyProtection="false">
      <alignment horizontal="left" vertical="center" textRotation="0" wrapText="true" indent="0" shrinkToFit="false"/>
      <protection locked="true" hidden="false"/>
    </xf>
    <xf numFmtId="176" fontId="55" fillId="24" borderId="16" xfId="0" applyFont="true" applyBorder="true" applyAlignment="true" applyProtection="false">
      <alignment horizontal="center" vertical="center" textRotation="0" wrapText="false" indent="0" shrinkToFit="false"/>
      <protection locked="true" hidden="false"/>
    </xf>
    <xf numFmtId="176" fontId="57" fillId="20" borderId="18" xfId="0" applyFont="true" applyBorder="true" applyAlignment="true" applyProtection="false">
      <alignment horizontal="center" vertical="center" textRotation="0" wrapText="false" indent="0" shrinkToFit="false"/>
      <protection locked="true" hidden="false"/>
    </xf>
    <xf numFmtId="164" fontId="50" fillId="18" borderId="16" xfId="0" applyFont="true" applyBorder="true" applyAlignment="true" applyProtection="false">
      <alignment horizontal="left" vertical="center" textRotation="0" wrapText="false" indent="0" shrinkToFit="false"/>
      <protection locked="true" hidden="false"/>
    </xf>
    <xf numFmtId="164" fontId="58" fillId="0" borderId="16" xfId="0" applyFont="true" applyBorder="true" applyAlignment="true" applyProtection="false">
      <alignment horizontal="left" vertical="center" textRotation="0" wrapText="false" indent="0" shrinkToFit="false"/>
      <protection locked="true" hidden="false"/>
    </xf>
    <xf numFmtId="164" fontId="55" fillId="20" borderId="18" xfId="0" applyFont="true" applyBorder="true" applyAlignment="true" applyProtection="false">
      <alignment horizontal="left" vertical="center" textRotation="0" wrapText="false" indent="0" shrinkToFit="false"/>
      <protection locked="true" hidden="false"/>
    </xf>
    <xf numFmtId="164" fontId="56" fillId="0" borderId="0" xfId="0" applyFont="true" applyBorder="true" applyAlignment="true" applyProtection="false">
      <alignment horizontal="left" vertical="center" textRotation="0" wrapText="false" indent="0" shrinkToFit="false"/>
      <protection locked="true" hidden="false"/>
    </xf>
    <xf numFmtId="164" fontId="59" fillId="17" borderId="16" xfId="0" applyFont="true" applyBorder="true" applyAlignment="true" applyProtection="false">
      <alignment horizontal="center" vertical="center" textRotation="0" wrapText="false" indent="0" shrinkToFit="false"/>
      <protection locked="true" hidden="false"/>
    </xf>
    <xf numFmtId="164" fontId="60" fillId="0" borderId="0" xfId="0" applyFont="true" applyBorder="true" applyAlignment="true" applyProtection="false">
      <alignment horizontal="left" vertical="center" textRotation="0" wrapText="false" indent="0" shrinkToFit="false"/>
      <protection locked="true" hidden="false"/>
    </xf>
    <xf numFmtId="165" fontId="60" fillId="0" borderId="0" xfId="0" applyFont="true" applyBorder="false" applyAlignment="true" applyProtection="false">
      <alignment horizontal="left" vertical="center" textRotation="0" wrapText="false" indent="0" shrinkToFit="false"/>
      <protection locked="true" hidden="false"/>
    </xf>
    <xf numFmtId="164" fontId="49" fillId="0" borderId="0" xfId="0" applyFont="true" applyBorder="true" applyAlignment="true" applyProtection="false">
      <alignment horizontal="left" vertical="center" textRotation="0" wrapText="false" indent="0" shrinkToFit="false"/>
      <protection locked="true" hidden="false"/>
    </xf>
    <xf numFmtId="164" fontId="52" fillId="0" borderId="0" xfId="0" applyFont="true" applyBorder="true" applyAlignment="true" applyProtection="false">
      <alignment horizontal="right" vertical="center" textRotation="0" wrapText="false" indent="0" shrinkToFit="false"/>
      <protection locked="true" hidden="false"/>
    </xf>
    <xf numFmtId="172" fontId="61" fillId="0" borderId="18" xfId="0" applyFont="true" applyBorder="true" applyAlignment="true" applyProtection="false">
      <alignment horizontal="center" vertical="center" textRotation="0" wrapText="false" indent="0" shrinkToFit="false"/>
      <protection locked="true" hidden="false"/>
    </xf>
    <xf numFmtId="164" fontId="50" fillId="17" borderId="16" xfId="0" applyFont="true" applyBorder="true" applyAlignment="true" applyProtection="false">
      <alignment horizontal="right" vertical="center" textRotation="0" wrapText="false" indent="0" shrinkToFit="false"/>
      <protection locked="true" hidden="false"/>
    </xf>
    <xf numFmtId="164" fontId="62" fillId="22" borderId="16" xfId="0" applyFont="true" applyBorder="true" applyAlignment="true" applyProtection="false">
      <alignment horizontal="center" vertical="center" textRotation="0" wrapText="true" indent="0" shrinkToFit="false"/>
      <protection locked="true" hidden="false"/>
    </xf>
    <xf numFmtId="164" fontId="63" fillId="22" borderId="16" xfId="0" applyFont="true" applyBorder="true" applyAlignment="true" applyProtection="false">
      <alignment horizontal="left" vertical="center" textRotation="0" wrapText="true" indent="0" shrinkToFit="false"/>
      <protection locked="true" hidden="false"/>
    </xf>
    <xf numFmtId="177" fontId="64" fillId="22" borderId="16" xfId="0" applyFont="true" applyBorder="true" applyAlignment="true" applyProtection="false">
      <alignment horizontal="right" vertical="center" textRotation="0" wrapText="false" indent="0" shrinkToFit="false"/>
      <protection locked="true" hidden="false"/>
    </xf>
    <xf numFmtId="178" fontId="55" fillId="22" borderId="16" xfId="0" applyFont="true" applyBorder="true" applyAlignment="true" applyProtection="false">
      <alignment horizontal="right" vertical="center" textRotation="0" wrapText="false" indent="0" shrinkToFit="false"/>
      <protection locked="true" hidden="false"/>
    </xf>
    <xf numFmtId="164" fontId="62" fillId="24" borderId="16" xfId="0" applyFont="true" applyBorder="true" applyAlignment="true" applyProtection="false">
      <alignment horizontal="center" vertical="center" textRotation="0" wrapText="true" indent="0" shrinkToFit="false"/>
      <protection locked="true" hidden="false"/>
    </xf>
    <xf numFmtId="164" fontId="63" fillId="24" borderId="16" xfId="0" applyFont="true" applyBorder="true" applyAlignment="true" applyProtection="false">
      <alignment horizontal="left" vertical="center" textRotation="0" wrapText="true" indent="0" shrinkToFit="false"/>
      <protection locked="true" hidden="false"/>
    </xf>
    <xf numFmtId="177" fontId="57" fillId="24" borderId="16" xfId="0" applyFont="true" applyBorder="true" applyAlignment="true" applyProtection="false">
      <alignment horizontal="right" vertical="center" textRotation="0" wrapText="false" indent="0" shrinkToFit="false"/>
      <protection locked="true" hidden="false"/>
    </xf>
    <xf numFmtId="178" fontId="55" fillId="24" borderId="16" xfId="0" applyFont="true" applyBorder="true" applyAlignment="true" applyProtection="false">
      <alignment horizontal="right" vertical="center" textRotation="0" wrapText="false" indent="0" shrinkToFit="false"/>
      <protection locked="true" hidden="false"/>
    </xf>
    <xf numFmtId="177" fontId="57" fillId="22" borderId="16" xfId="0" applyFont="true" applyBorder="true" applyAlignment="true" applyProtection="false">
      <alignment horizontal="right" vertical="center" textRotation="0" wrapText="false" indent="0" shrinkToFit="false"/>
      <protection locked="true" hidden="false"/>
    </xf>
    <xf numFmtId="177" fontId="64" fillId="24" borderId="16" xfId="0" applyFont="true" applyBorder="true" applyAlignment="true" applyProtection="false">
      <alignment horizontal="right" vertical="center" textRotation="0" wrapText="false" indent="0" shrinkToFit="false"/>
      <protection locked="true" hidden="false"/>
    </xf>
    <xf numFmtId="164" fontId="65" fillId="25" borderId="16" xfId="0" applyFont="true" applyBorder="true" applyAlignment="true" applyProtection="false">
      <alignment horizontal="right" vertical="center" textRotation="0" wrapText="false" indent="0" shrinkToFit="false"/>
      <protection locked="true" hidden="false"/>
    </xf>
    <xf numFmtId="178" fontId="65" fillId="25" borderId="16" xfId="0" applyFont="true" applyBorder="true" applyAlignment="true" applyProtection="false">
      <alignment horizontal="right" vertical="center" textRotation="0" wrapText="false" indent="0" shrinkToFit="false"/>
      <protection locked="true" hidden="false"/>
    </xf>
    <xf numFmtId="177" fontId="57" fillId="20" borderId="18" xfId="0" applyFont="true" applyBorder="true" applyAlignment="true" applyProtection="false">
      <alignment horizontal="right" vertical="center" textRotation="0" wrapText="false" indent="0" shrinkToFit="false"/>
      <protection locked="true" hidden="false"/>
    </xf>
    <xf numFmtId="164" fontId="66" fillId="18" borderId="16" xfId="0" applyFont="true" applyBorder="true" applyAlignment="true" applyProtection="false">
      <alignment horizontal="right" vertical="center" textRotation="0" wrapText="false" indent="0" shrinkToFit="false"/>
      <protection locked="true" hidden="false"/>
    </xf>
    <xf numFmtId="178" fontId="66" fillId="18" borderId="16" xfId="0" applyFont="true" applyBorder="true" applyAlignment="true" applyProtection="false">
      <alignment horizontal="right" vertical="center" textRotation="0" wrapText="false" indent="0" shrinkToFit="false"/>
      <protection locked="true" hidden="false"/>
    </xf>
    <xf numFmtId="164" fontId="53" fillId="17" borderId="16" xfId="0" applyFont="true" applyBorder="true" applyAlignment="true" applyProtection="false">
      <alignment horizontal="center" vertical="center" textRotation="0" wrapText="false" indent="0" shrinkToFit="false"/>
      <protection locked="true" hidden="false"/>
    </xf>
    <xf numFmtId="164" fontId="53" fillId="17" borderId="16" xfId="0" applyFont="true" applyBorder="true" applyAlignment="true" applyProtection="false">
      <alignment horizontal="right" vertical="center" textRotation="0" wrapText="false" indent="0" shrinkToFit="false"/>
      <protection locked="true" hidden="false"/>
    </xf>
    <xf numFmtId="176" fontId="55" fillId="20" borderId="18" xfId="0" applyFont="true" applyBorder="true" applyAlignment="true" applyProtection="false">
      <alignment horizontal="center" vertical="center" textRotation="0" wrapText="false" indent="0" shrinkToFit="false"/>
      <protection locked="true" hidden="false"/>
    </xf>
    <xf numFmtId="177" fontId="55" fillId="20" borderId="18" xfId="0" applyFont="true" applyBorder="true" applyAlignment="true" applyProtection="false">
      <alignment horizontal="right" vertical="center" textRotation="0" wrapText="false" indent="0" shrinkToFit="false"/>
      <protection locked="true" hidden="false"/>
    </xf>
    <xf numFmtId="177" fontId="55" fillId="24" borderId="16" xfId="0" applyFont="true" applyBorder="true" applyAlignment="true" applyProtection="false">
      <alignment horizontal="right" vertical="center" textRotation="0" wrapText="false" indent="0" shrinkToFit="false"/>
      <protection locked="true" hidden="false"/>
    </xf>
    <xf numFmtId="177" fontId="55" fillId="22" borderId="16" xfId="0" applyFont="true" applyBorder="true" applyAlignment="true" applyProtection="false">
      <alignment horizontal="right" vertical="center" textRotation="0" wrapText="false" indent="0" shrinkToFit="false"/>
      <protection locked="true" hidden="false"/>
    </xf>
    <xf numFmtId="164" fontId="50" fillId="18" borderId="16" xfId="0" applyFont="true" applyBorder="true" applyAlignment="true" applyProtection="false">
      <alignment horizontal="right" vertical="center" textRotation="0" wrapText="false" indent="0" shrinkToFit="false"/>
      <protection locked="true" hidden="false"/>
    </xf>
    <xf numFmtId="178" fontId="50" fillId="18" borderId="16" xfId="0" applyFont="true" applyBorder="true" applyAlignment="true" applyProtection="false">
      <alignment horizontal="right" vertical="center" textRotation="0" wrapText="false" indent="0" shrinkToFit="false"/>
      <protection locked="true" hidden="false"/>
    </xf>
    <xf numFmtId="164" fontId="67" fillId="17" borderId="16" xfId="0" applyFont="true" applyBorder="true" applyAlignment="true" applyProtection="false">
      <alignment horizontal="right" vertical="center" textRotation="0" wrapText="false" indent="0" shrinkToFit="false"/>
      <protection locked="true" hidden="false"/>
    </xf>
    <xf numFmtId="178" fontId="67" fillId="17" borderId="16" xfId="0" applyFont="true" applyBorder="true" applyAlignment="true" applyProtection="false">
      <alignment horizontal="right" vertical="center" textRotation="0" wrapText="false" indent="0" shrinkToFit="false"/>
      <protection locked="true" hidden="false"/>
    </xf>
    <xf numFmtId="164" fontId="67" fillId="18" borderId="16" xfId="0" applyFont="true" applyBorder="true" applyAlignment="true" applyProtection="false">
      <alignment horizontal="left" vertical="center" textRotation="0" wrapText="false" indent="0" shrinkToFit="false"/>
      <protection locked="true" hidden="false"/>
    </xf>
    <xf numFmtId="164" fontId="52" fillId="19" borderId="16" xfId="0" applyFont="true" applyBorder="true" applyAlignment="true" applyProtection="false">
      <alignment horizontal="left" vertical="center" textRotation="0" wrapText="false" indent="0" shrinkToFit="false"/>
      <protection locked="true" hidden="false"/>
    </xf>
    <xf numFmtId="164" fontId="52" fillId="0" borderId="16" xfId="0" applyFont="true" applyBorder="true" applyAlignment="true" applyProtection="false">
      <alignment horizontal="right" vertical="center" textRotation="0" wrapText="false" indent="0" shrinkToFit="false"/>
      <protection locked="true" hidden="false"/>
    </xf>
    <xf numFmtId="165" fontId="55" fillId="19" borderId="16" xfId="0" applyFont="true" applyBorder="true" applyAlignment="true" applyProtection="false">
      <alignment horizontal="center" vertical="center" textRotation="0" wrapText="false" indent="0" shrinkToFit="false"/>
      <protection locked="true" hidden="false"/>
    </xf>
    <xf numFmtId="164" fontId="65" fillId="21" borderId="16" xfId="0" applyFont="true" applyBorder="true" applyAlignment="true" applyProtection="false">
      <alignment horizontal="left" vertical="center" textRotation="0" wrapText="false" indent="0" shrinkToFit="false"/>
      <protection locked="true" hidden="false"/>
    </xf>
    <xf numFmtId="177" fontId="68" fillId="20" borderId="18"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55" fillId="19" borderId="16" xfId="0" applyFont="true" applyBorder="true" applyAlignment="true" applyProtection="false">
      <alignment horizontal="center" vertical="center" textRotation="0" wrapText="false" indent="0" shrinkToFit="false"/>
      <protection locked="true" hidden="false"/>
    </xf>
    <xf numFmtId="177" fontId="64" fillId="20" borderId="18" xfId="0" applyFont="true" applyBorder="true" applyAlignment="true" applyProtection="false">
      <alignment horizontal="center" vertical="center" textRotation="0" wrapText="false" indent="0" shrinkToFit="false"/>
      <protection locked="true" hidden="false"/>
    </xf>
    <xf numFmtId="178" fontId="55" fillId="19" borderId="16" xfId="0" applyFont="true" applyBorder="true" applyAlignment="true" applyProtection="false">
      <alignment horizontal="center" vertical="center" textRotation="0" wrapText="false" indent="0" shrinkToFit="false"/>
      <protection locked="true" hidden="false"/>
    </xf>
    <xf numFmtId="177" fontId="30" fillId="20" borderId="18" xfId="0" applyFont="true" applyBorder="true" applyAlignment="true" applyProtection="false">
      <alignment horizontal="center" vertical="center" textRotation="0" wrapText="false" indent="0" shrinkToFit="false"/>
      <protection locked="true" hidden="false"/>
    </xf>
    <xf numFmtId="165" fontId="68" fillId="20" borderId="18" xfId="0" applyFont="true" applyBorder="true" applyAlignment="true" applyProtection="false">
      <alignment horizontal="center" vertical="center" textRotation="0" wrapText="false" indent="0" shrinkToFit="false"/>
      <protection locked="true" hidden="false"/>
    </xf>
    <xf numFmtId="178" fontId="69" fillId="21" borderId="16" xfId="0" applyFont="true" applyBorder="true" applyAlignment="true" applyProtection="false">
      <alignment horizontal="center" vertical="center" textRotation="0" wrapText="false" indent="0" shrinkToFit="false"/>
      <protection locked="true" hidden="false"/>
    </xf>
    <xf numFmtId="176" fontId="55" fillId="19" borderId="16" xfId="0" applyFont="true" applyBorder="true" applyAlignment="true" applyProtection="false">
      <alignment horizontal="center" vertical="center" textRotation="0" wrapText="false" indent="0" shrinkToFit="false"/>
      <protection locked="true" hidden="false"/>
    </xf>
    <xf numFmtId="172" fontId="68" fillId="20" borderId="18" xfId="0" applyFont="true" applyBorder="true" applyAlignment="true" applyProtection="false">
      <alignment horizontal="center" vertical="center" textRotation="0" wrapText="fals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name val="Arial"/>
        <charset val="1"/>
        <family val="0"/>
        <strike val="1"/>
        <color rgb="FFA0A0A0"/>
      </font>
    </dxf>
    <dxf>
      <fill>
        <patternFill>
          <bgColor rgb="FFF4B183"/>
        </patternFill>
      </fill>
    </dxf>
    <dxf>
      <font>
        <name val="Arial"/>
        <charset val="1"/>
        <family val="0"/>
        <color rgb="FFBBBBBB"/>
      </font>
    </dxf>
    <dxf>
      <font>
        <name val="Arial"/>
        <charset val="1"/>
        <family val="0"/>
        <b val="1"/>
        <color rgb="FF2E7D32"/>
      </font>
    </dxf>
    <dxf>
      <font>
        <name val="Arial"/>
        <charset val="1"/>
        <family val="0"/>
        <b val="1"/>
        <color rgb="FF0563C1"/>
      </font>
    </dxf>
    <dxf>
      <font>
        <name val="Arial"/>
        <charset val="1"/>
        <family val="0"/>
        <b val="1"/>
        <color rgb="FFC55A11"/>
      </font>
    </dxf>
    <dxf>
      <fill>
        <patternFill>
          <bgColor rgb="FFD6E4F2"/>
        </patternFill>
      </fill>
    </dxf>
    <dxf>
      <font>
        <name val="Arial"/>
        <charset val="1"/>
        <family val="0"/>
        <color rgb="FFC9C9C9"/>
      </font>
    </dxf>
  </dxfs>
  <colors>
    <indexedColors>
      <rgbColor rgb="FF000000"/>
      <rgbColor rgb="FFFFFFFF"/>
      <rgbColor rgb="FFFFF7E0"/>
      <rgbColor rgb="FFF2F2F2"/>
      <rgbColor rgb="FF0000FF"/>
      <rgbColor rgb="FFFFFF00"/>
      <rgbColor rgb="FFF5F5F5"/>
      <rgbColor rgb="FFDCE6F2"/>
      <rgbColor rgb="FFFFFDF6"/>
      <rgbColor rgb="FF008000"/>
      <rgbColor rgb="FF1B5E20"/>
      <rgbColor rgb="FF9C6500"/>
      <rgbColor rgb="FFF4F8FC"/>
      <rgbColor rgb="FF1F7A5F"/>
      <rgbColor rgb="FFBBBBBB"/>
      <rgbColor rgb="FF888888"/>
      <rgbColor rgb="FFCCCCCC"/>
      <rgbColor rgb="FF595959"/>
      <rgbColor rgb="FFFFF8E1"/>
      <rgbColor rgb="FFEAF1F8"/>
      <rgbColor rgb="FF666666"/>
      <rgbColor rgb="FFE2E6EA"/>
      <rgbColor rgb="FF0563C1"/>
      <rgbColor rgb="FFC8DEFA"/>
      <rgbColor rgb="FF000080"/>
      <rgbColor rgb="FFFBF6E7"/>
      <rgbColor rgb="FFEFE7CC"/>
      <rgbColor rgb="FFE8EDF2"/>
      <rgbColor rgb="FFF7FAFB"/>
      <rgbColor rgb="FF800000"/>
      <rgbColor rgb="FF2E5C8A"/>
      <rgbColor rgb="FF0000FF"/>
      <rgbColor rgb="FFEFF4FA"/>
      <rgbColor rgb="FFEDF2F8"/>
      <rgbColor rgb="FFEFF6F1"/>
      <rgbColor rgb="FFFFF176"/>
      <rgbColor rgb="FFBFC7D0"/>
      <rgbColor rgb="FFF4B183"/>
      <rgbColor rgb="FFC9C9C9"/>
      <rgbColor rgb="FFE6DCB8"/>
      <rgbColor rgb="FF2E5A88"/>
      <rgbColor rgb="FFD6E4F2"/>
      <rgbColor rgb="FFD6E4F0"/>
      <rgbColor rgb="FFD9D9D9"/>
      <rgbColor rgb="FFDCE6F1"/>
      <rgbColor rgb="FFC55A11"/>
      <rgbColor rgb="FF6B7682"/>
      <rgbColor rgb="FFA0A0A0"/>
      <rgbColor rgb="FF1F3864"/>
      <rgbColor rgb="FF2E7D32"/>
      <rgbColor rgb="FF1F3A5F"/>
      <rgbColor rgb="FF3C3C3C"/>
      <rgbColor rgb="FF4A4A4A"/>
      <rgbColor rgb="FF555555"/>
      <rgbColor rgb="FF1A237E"/>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1</xdr:col>
      <xdr:colOff>1901880</xdr:colOff>
      <xdr:row>1</xdr:row>
      <xdr:rowOff>949320</xdr:rowOff>
    </xdr:to>
    <xdr:pic>
      <xdr:nvPicPr>
        <xdr:cNvPr id="1" name="Image 1" descr="Picture"/>
        <xdr:cNvPicPr/>
      </xdr:nvPicPr>
      <xdr:blipFill>
        <a:blip r:embed="rId1"/>
        <a:stretch/>
      </xdr:blipFill>
      <xdr:spPr>
        <a:xfrm>
          <a:off x="141120" y="190440"/>
          <a:ext cx="1901880" cy="9493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1</xdr:col>
      <xdr:colOff>1214280</xdr:colOff>
      <xdr:row>4</xdr:row>
      <xdr:rowOff>53640</xdr:rowOff>
    </xdr:to>
    <xdr:pic>
      <xdr:nvPicPr>
        <xdr:cNvPr id="2" name="Image 1" descr="Picture"/>
        <xdr:cNvPicPr/>
      </xdr:nvPicPr>
      <xdr:blipFill>
        <a:blip r:embed="rId1"/>
        <a:stretch/>
      </xdr:blipFill>
      <xdr:spPr>
        <a:xfrm>
          <a:off x="0" y="190440"/>
          <a:ext cx="1425600" cy="71100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720720</xdr:colOff>
      <xdr:row>0</xdr:row>
      <xdr:rowOff>711000</xdr:rowOff>
    </xdr:to>
    <xdr:pic>
      <xdr:nvPicPr>
        <xdr:cNvPr id="3" name="Image 1" descr="Picture"/>
        <xdr:cNvPicPr/>
      </xdr:nvPicPr>
      <xdr:blipFill>
        <a:blip r:embed="rId1"/>
        <a:stretch/>
      </xdr:blipFill>
      <xdr:spPr>
        <a:xfrm>
          <a:off x="0" y="0"/>
          <a:ext cx="1425600" cy="71100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1528560</xdr:colOff>
      <xdr:row>3</xdr:row>
      <xdr:rowOff>120600</xdr:rowOff>
    </xdr:to>
    <xdr:pic>
      <xdr:nvPicPr>
        <xdr:cNvPr id="4" name="Image 1" descr="Picture"/>
        <xdr:cNvPicPr/>
      </xdr:nvPicPr>
      <xdr:blipFill>
        <a:blip r:embed="rId1"/>
        <a:stretch/>
      </xdr:blipFill>
      <xdr:spPr>
        <a:xfrm>
          <a:off x="0" y="0"/>
          <a:ext cx="2092320" cy="104436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259560</xdr:colOff>
      <xdr:row>3</xdr:row>
      <xdr:rowOff>120600</xdr:rowOff>
    </xdr:to>
    <xdr:pic>
      <xdr:nvPicPr>
        <xdr:cNvPr id="5" name="Image 1" descr="Picture"/>
        <xdr:cNvPicPr/>
      </xdr:nvPicPr>
      <xdr:blipFill>
        <a:blip r:embed="rId1"/>
        <a:stretch/>
      </xdr:blipFill>
      <xdr:spPr>
        <a:xfrm>
          <a:off x="0" y="0"/>
          <a:ext cx="2092320" cy="104436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259560</xdr:colOff>
      <xdr:row>3</xdr:row>
      <xdr:rowOff>120600</xdr:rowOff>
    </xdr:to>
    <xdr:pic>
      <xdr:nvPicPr>
        <xdr:cNvPr id="6" name="Image 1" descr="Picture"/>
        <xdr:cNvPicPr/>
      </xdr:nvPicPr>
      <xdr:blipFill>
        <a:blip r:embed="rId1"/>
        <a:stretch/>
      </xdr:blipFill>
      <xdr:spPr>
        <a:xfrm>
          <a:off x="0" y="0"/>
          <a:ext cx="2092320" cy="104436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934560</xdr:colOff>
      <xdr:row>3</xdr:row>
      <xdr:rowOff>37440</xdr:rowOff>
    </xdr:to>
    <xdr:pic>
      <xdr:nvPicPr>
        <xdr:cNvPr id="7" name="Image 1" descr="Picture"/>
        <xdr:cNvPicPr/>
      </xdr:nvPicPr>
      <xdr:blipFill>
        <a:blip r:embed="rId1"/>
        <a:stretch/>
      </xdr:blipFill>
      <xdr:spPr>
        <a:xfrm>
          <a:off x="0" y="0"/>
          <a:ext cx="1428120" cy="6660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106"/>
  </cols>
  <sheetData>
    <row r="2" customFormat="false" ht="79.5" hidden="false" customHeight="true" outlineLevel="0" collapsed="false"/>
    <row r="7" customFormat="false" ht="19.5" hidden="false" customHeight="true" outlineLevel="0" collapsed="false">
      <c r="B7" s="2" t="s">
        <v>0</v>
      </c>
    </row>
    <row r="9" customFormat="false" ht="15.75" hidden="false" customHeight="true" outlineLevel="0" collapsed="false">
      <c r="B9" s="3" t="s">
        <v>1</v>
      </c>
    </row>
    <row r="10" customFormat="false" ht="15" hidden="false" customHeight="true" outlineLevel="0" collapsed="false">
      <c r="B10" s="4" t="s">
        <v>2</v>
      </c>
    </row>
    <row r="16" customFormat="false" ht="15.75" hidden="false" customHeight="true" outlineLevel="0" collapsed="false">
      <c r="B16" s="3" t="s">
        <v>3</v>
      </c>
    </row>
    <row r="17" customFormat="false" ht="15" hidden="false" customHeight="true" outlineLevel="0" collapsed="false">
      <c r="B17" s="4" t="s">
        <v>4</v>
      </c>
    </row>
    <row r="18" customFormat="false" ht="15" hidden="false" customHeight="true" outlineLevel="0" collapsed="false">
      <c r="B18" s="4" t="s">
        <v>5</v>
      </c>
    </row>
    <row r="20" customFormat="false" ht="15.75" hidden="false" customHeight="true" outlineLevel="0" collapsed="false">
      <c r="B20" s="3" t="s">
        <v>6</v>
      </c>
    </row>
    <row r="21" customFormat="false" ht="15" hidden="false" customHeight="true" outlineLevel="0" collapsed="false">
      <c r="B21" s="4" t="s">
        <v>7</v>
      </c>
    </row>
    <row r="22" customFormat="false" ht="15" hidden="false" customHeight="true" outlineLevel="0" collapsed="false">
      <c r="B22" s="4" t="s">
        <v>8</v>
      </c>
    </row>
    <row r="24" customFormat="false" ht="15.75" hidden="false" customHeight="true" outlineLevel="0" collapsed="false">
      <c r="B24" s="3" t="s">
        <v>9</v>
      </c>
    </row>
    <row r="25" customFormat="false" ht="15" hidden="false" customHeight="true" outlineLevel="0" collapsed="false">
      <c r="B25" s="4" t="s">
        <v>10</v>
      </c>
    </row>
    <row r="27" customFormat="false" ht="15" hidden="false" customHeight="true" outlineLevel="0" collapsed="false">
      <c r="B27" s="5" t="s">
        <v>11</v>
      </c>
    </row>
    <row r="28" customFormat="false" ht="15" hidden="false" customHeight="false" outlineLevel="0" collapsed="false">
      <c r="B28" s="1" t="s">
        <v>12</v>
      </c>
    </row>
    <row r="29" customFormat="false" ht="15.75" hidden="false" customHeight="true" outlineLevel="0" collapsed="false">
      <c r="B29" s="3" t="s">
        <v>13</v>
      </c>
    </row>
    <row r="30" customFormat="false" ht="15" hidden="false" customHeight="true" outlineLevel="0" collapsed="false">
      <c r="B30" s="4" t="s">
        <v>14</v>
      </c>
    </row>
    <row r="31" customFormat="false" ht="15" hidden="false" customHeight="true" outlineLevel="0" collapsed="false">
      <c r="B31" s="4" t="s">
        <v>15</v>
      </c>
    </row>
    <row r="32" customFormat="false" ht="15" hidden="false" customHeight="true" outlineLevel="0" collapsed="false">
      <c r="B32" s="4" t="s">
        <v>16</v>
      </c>
    </row>
    <row r="33" customFormat="false" ht="15" hidden="false" customHeight="true" outlineLevel="0" collapsed="false">
      <c r="B33" s="4" t="s">
        <v>17</v>
      </c>
    </row>
    <row r="34" customFormat="false" ht="15" hidden="false" customHeight="true" outlineLevel="0" collapsed="false">
      <c r="B34" s="4" t="s">
        <v>18</v>
      </c>
    </row>
    <row r="35" customFormat="false" ht="15" hidden="false" customHeight="true" outlineLevel="0" collapsed="false">
      <c r="B35" s="4" t="s">
        <v>19</v>
      </c>
    </row>
    <row r="36" customFormat="false" ht="15" hidden="false" customHeight="true" outlineLevel="0" collapsed="false">
      <c r="B36" s="5" t="s">
        <v>20</v>
      </c>
    </row>
    <row r="37" customFormat="false" ht="15" hidden="false" customHeight="true" outlineLevel="0" collapsed="false">
      <c r="B37" s="6" t="s">
        <v>21</v>
      </c>
    </row>
    <row r="38" customFormat="false" ht="15" hidden="false" customHeight="true" outlineLevel="0" collapsed="false">
      <c r="B38" s="6" t="s">
        <v>22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3" min="3" style="1" width="26"/>
    <col collapsed="false" customWidth="true" hidden="false" outlineLevel="0" max="4" min="4" style="1" width="40"/>
  </cols>
  <sheetData>
    <row r="2" customFormat="false" ht="21.75" hidden="false" customHeight="true" outlineLevel="0" collapsed="false">
      <c r="C2" s="7" t="s">
        <v>23</v>
      </c>
      <c r="D2" s="7"/>
    </row>
    <row r="3" customFormat="false" ht="15" hidden="false" customHeight="true" outlineLevel="0" collapsed="false">
      <c r="C3" s="8" t="s">
        <v>24</v>
      </c>
      <c r="D3" s="8"/>
    </row>
    <row r="7" customFormat="false" ht="15" hidden="false" customHeight="true" outlineLevel="0" collapsed="false">
      <c r="B7" s="9" t="s">
        <v>25</v>
      </c>
      <c r="C7" s="9"/>
      <c r="D7" s="9"/>
    </row>
    <row r="8" customFormat="false" ht="15" hidden="false" customHeight="true" outlineLevel="0" collapsed="false">
      <c r="B8" s="10" t="s">
        <v>26</v>
      </c>
      <c r="C8" s="11" t="s">
        <v>27</v>
      </c>
    </row>
    <row r="9" customFormat="false" ht="15" hidden="false" customHeight="true" outlineLevel="0" collapsed="false">
      <c r="B9" s="10" t="s">
        <v>28</v>
      </c>
      <c r="C9" s="11"/>
    </row>
    <row r="10" customFormat="false" ht="15" hidden="false" customHeight="true" outlineLevel="0" collapsed="false">
      <c r="B10" s="10" t="s">
        <v>29</v>
      </c>
      <c r="C10" s="11" t="s">
        <v>30</v>
      </c>
    </row>
    <row r="12" customFormat="false" ht="15" hidden="false" customHeight="true" outlineLevel="0" collapsed="false">
      <c r="B12" s="9" t="s">
        <v>31</v>
      </c>
      <c r="C12" s="9"/>
      <c r="D12" s="9"/>
    </row>
    <row r="13" customFormat="false" ht="15" hidden="false" customHeight="true" outlineLevel="0" collapsed="false">
      <c r="B13" s="10" t="s">
        <v>32</v>
      </c>
      <c r="C13" s="12" t="n">
        <v>1800</v>
      </c>
      <c r="D13" s="13" t="s">
        <v>33</v>
      </c>
    </row>
    <row r="14" customFormat="false" ht="15" hidden="false" customHeight="true" outlineLevel="0" collapsed="false">
      <c r="B14" s="10" t="s">
        <v>34</v>
      </c>
      <c r="C14" s="12" t="n">
        <v>400</v>
      </c>
    </row>
    <row r="15" customFormat="false" ht="15" hidden="false" customHeight="true" outlineLevel="0" collapsed="false">
      <c r="B15" s="10" t="s">
        <v>35</v>
      </c>
      <c r="C15" s="12" t="n">
        <v>120</v>
      </c>
    </row>
    <row r="16" customFormat="false" ht="15" hidden="false" customHeight="true" outlineLevel="0" collapsed="false">
      <c r="B16" s="10" t="s">
        <v>36</v>
      </c>
      <c r="C16" s="12" t="n">
        <v>0</v>
      </c>
    </row>
    <row r="17" customFormat="false" ht="15" hidden="false" customHeight="true" outlineLevel="0" collapsed="false">
      <c r="B17" s="10" t="s">
        <v>37</v>
      </c>
      <c r="C17" s="12" t="n">
        <v>0</v>
      </c>
    </row>
    <row r="18" customFormat="false" ht="15" hidden="false" customHeight="true" outlineLevel="0" collapsed="false">
      <c r="B18" s="10" t="s">
        <v>38</v>
      </c>
      <c r="C18" s="12" t="n">
        <v>600</v>
      </c>
    </row>
    <row r="19" customFormat="false" ht="15" hidden="false" customHeight="true" outlineLevel="0" collapsed="false">
      <c r="B19" s="10" t="s">
        <v>39</v>
      </c>
      <c r="C19" s="12" t="n">
        <v>40</v>
      </c>
    </row>
    <row r="20" customFormat="false" ht="15" hidden="false" customHeight="true" outlineLevel="0" collapsed="false">
      <c r="B20" s="10" t="s">
        <v>40</v>
      </c>
      <c r="C20" s="12" t="n">
        <v>190</v>
      </c>
    </row>
    <row r="21" customFormat="false" ht="15" hidden="false" customHeight="true" outlineLevel="0" collapsed="false">
      <c r="B21" s="10" t="s">
        <v>41</v>
      </c>
      <c r="C21" s="14" t="n">
        <v>4</v>
      </c>
    </row>
    <row r="22" customFormat="false" ht="15" hidden="false" customHeight="true" outlineLevel="0" collapsed="false">
      <c r="B22" s="10" t="s">
        <v>42</v>
      </c>
      <c r="C22" s="14" t="n">
        <v>9</v>
      </c>
    </row>
    <row r="23" customFormat="false" ht="15" hidden="false" customHeight="true" outlineLevel="0" collapsed="false">
      <c r="B23" s="15" t="s">
        <v>43</v>
      </c>
      <c r="C23" s="16" t="n">
        <f aca="false">C20*C22</f>
        <v>1710</v>
      </c>
      <c r="D23" s="13" t="s">
        <v>44</v>
      </c>
    </row>
    <row r="24" customFormat="false" ht="15" hidden="false" customHeight="true" outlineLevel="0" collapsed="false">
      <c r="B24" s="10" t="s">
        <v>45</v>
      </c>
      <c r="C24" s="12" t="n">
        <v>400</v>
      </c>
    </row>
    <row r="25" customFormat="false" ht="15" hidden="false" customHeight="true" outlineLevel="0" collapsed="false">
      <c r="B25" s="15" t="s">
        <v>46</v>
      </c>
      <c r="C25" s="16" t="n">
        <f aca="false">MAX(C13-C24,0)</f>
        <v>1400</v>
      </c>
      <c r="D25" s="13" t="s">
        <v>47</v>
      </c>
    </row>
    <row r="26" customFormat="false" ht="15" hidden="false" customHeight="true" outlineLevel="0" collapsed="false">
      <c r="B26" s="10" t="s">
        <v>48</v>
      </c>
      <c r="C26" s="14" t="n">
        <v>20</v>
      </c>
      <c r="D26" s="13" t="s">
        <v>49</v>
      </c>
    </row>
    <row r="27" customFormat="false" ht="15" hidden="false" customHeight="true" outlineLevel="0" collapsed="false">
      <c r="B27" s="10" t="s">
        <v>50</v>
      </c>
      <c r="C27" s="12" t="n">
        <v>18</v>
      </c>
    </row>
    <row r="28" customFormat="false" ht="15" hidden="false" customHeight="true" outlineLevel="0" collapsed="false">
      <c r="B28" s="10" t="s">
        <v>51</v>
      </c>
      <c r="C28" s="12" t="n">
        <v>3</v>
      </c>
    </row>
    <row r="29" customFormat="false" ht="15" hidden="false" customHeight="true" outlineLevel="0" collapsed="false">
      <c r="B29" s="10" t="s">
        <v>52</v>
      </c>
      <c r="C29" s="12" t="n">
        <v>1</v>
      </c>
    </row>
    <row r="30" customFormat="false" ht="15" hidden="false" customHeight="true" outlineLevel="0" collapsed="false">
      <c r="B30" s="10" t="s">
        <v>53</v>
      </c>
      <c r="C30" s="12" t="n">
        <v>1</v>
      </c>
    </row>
    <row r="31" customFormat="false" ht="15" hidden="false" customHeight="true" outlineLevel="0" collapsed="false">
      <c r="B31" s="15" t="s">
        <v>54</v>
      </c>
      <c r="C31" s="16" t="n">
        <f aca="false">C13+C14+C15</f>
        <v>2320</v>
      </c>
      <c r="D31" s="13" t="s">
        <v>55</v>
      </c>
    </row>
    <row r="32" customFormat="false" ht="15" hidden="false" customHeight="true" outlineLevel="0" collapsed="false">
      <c r="B32" s="10" t="s">
        <v>56</v>
      </c>
      <c r="C32" s="12" t="n">
        <v>0</v>
      </c>
      <c r="D32" s="13" t="s">
        <v>57</v>
      </c>
    </row>
    <row r="33" customFormat="false" ht="15" hidden="false" customHeight="true" outlineLevel="0" collapsed="false">
      <c r="B33" s="9" t="s">
        <v>58</v>
      </c>
      <c r="C33" s="9"/>
      <c r="D33" s="9"/>
    </row>
    <row r="34" customFormat="false" ht="15" hidden="false" customHeight="true" outlineLevel="0" collapsed="false">
      <c r="B34" s="10" t="s">
        <v>59</v>
      </c>
      <c r="C34" s="17" t="n">
        <v>0.079</v>
      </c>
      <c r="D34" s="13" t="s">
        <v>60</v>
      </c>
    </row>
    <row r="35" customFormat="false" ht="15" hidden="false" customHeight="true" outlineLevel="0" collapsed="false">
      <c r="B35" s="10" t="s">
        <v>61</v>
      </c>
      <c r="C35" s="17" t="n">
        <v>0.2</v>
      </c>
      <c r="D35" s="13" t="s">
        <v>62</v>
      </c>
    </row>
    <row r="36" customFormat="false" ht="15" hidden="false" customHeight="true" outlineLevel="0" collapsed="false">
      <c r="B36" s="10" t="s">
        <v>63</v>
      </c>
      <c r="C36" s="18" t="n">
        <v>46204</v>
      </c>
      <c r="D36" s="13" t="s">
        <v>64</v>
      </c>
    </row>
    <row r="38" customFormat="false" ht="15" hidden="false" customHeight="true" outlineLevel="0" collapsed="false">
      <c r="B38" s="9" t="s">
        <v>65</v>
      </c>
      <c r="C38" s="9"/>
      <c r="D38" s="9"/>
    </row>
    <row r="39" customFormat="false" ht="15" hidden="false" customHeight="true" outlineLevel="0" collapsed="false">
      <c r="B39" s="10" t="s">
        <v>66</v>
      </c>
      <c r="C39" s="11" t="s">
        <v>67</v>
      </c>
    </row>
    <row r="40" customFormat="false" ht="15" hidden="false" customHeight="true" outlineLevel="0" collapsed="false">
      <c r="B40" s="10" t="s">
        <v>68</v>
      </c>
      <c r="C40" s="11" t="s">
        <v>69</v>
      </c>
    </row>
    <row r="41" customFormat="false" ht="15" hidden="false" customHeight="true" outlineLevel="0" collapsed="false">
      <c r="B41" s="10" t="s">
        <v>70</v>
      </c>
      <c r="C41" s="11" t="s">
        <v>71</v>
      </c>
    </row>
    <row r="43" customFormat="false" ht="15" hidden="false" customHeight="true" outlineLevel="0" collapsed="false">
      <c r="B43" s="9" t="s">
        <v>72</v>
      </c>
      <c r="C43" s="9"/>
      <c r="D43" s="9"/>
    </row>
    <row r="44" customFormat="false" ht="15" hidden="false" customHeight="true" outlineLevel="0" collapsed="false">
      <c r="B44" s="10" t="s">
        <v>73</v>
      </c>
      <c r="C44" s="19" t="n">
        <f aca="false">$C$36</f>
        <v>46204</v>
      </c>
    </row>
    <row r="45" customFormat="false" ht="15" hidden="false" customHeight="true" outlineLevel="0" collapsed="false">
      <c r="B45" s="10" t="s">
        <v>74</v>
      </c>
      <c r="C45" s="19" t="n">
        <f aca="false">EDATE($C$36,1)</f>
        <v>46235</v>
      </c>
    </row>
    <row r="46" customFormat="false" ht="15" hidden="false" customHeight="true" outlineLevel="0" collapsed="false">
      <c r="B46" s="10" t="s">
        <v>75</v>
      </c>
      <c r="C46" s="19" t="n">
        <f aca="false">EDATE($C$36,2)</f>
        <v>46266</v>
      </c>
    </row>
  </sheetData>
  <mergeCells count="7">
    <mergeCell ref="C2:D2"/>
    <mergeCell ref="C3:D3"/>
    <mergeCell ref="B7:D7"/>
    <mergeCell ref="B12:D12"/>
    <mergeCell ref="B33:D33"/>
    <mergeCell ref="B38:D38"/>
    <mergeCell ref="B43:D4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14"/>
  </cols>
  <sheetData>
    <row r="1" customFormat="false" ht="60" hidden="false" customHeight="true" outlineLevel="0" collapsed="false">
      <c r="B1" s="20" t="s">
        <v>76</v>
      </c>
    </row>
    <row r="2" customFormat="false" ht="15.75" hidden="false" customHeight="true" outlineLevel="0" collapsed="false">
      <c r="B2" s="21" t="str">
        <f aca="false">Settings!C40&amp;"   •   "&amp;Settings!C41</f>
        <v>PO Box 516, Longview, WA 98632   •   360-200-1716</v>
      </c>
    </row>
    <row r="3" customFormat="false" ht="15" hidden="false" customHeight="true" outlineLevel="0" collapsed="false">
      <c r="B3" s="22" t="str">
        <f aca="false">"Project:  "&amp;Settings!C8&amp;"        Estimate  "&amp;Settings!C10</f>
        <v>Project:  Truesdell SFD        Estimate  EST-1001</v>
      </c>
    </row>
    <row r="5" customFormat="false" ht="15" hidden="false" customHeight="true" outlineLevel="0" collapsed="false">
      <c r="A5" s="23" t="s">
        <v>77</v>
      </c>
      <c r="B5" s="24" t="s">
        <v>78</v>
      </c>
    </row>
    <row r="6" customFormat="false" ht="24" hidden="false" customHeight="true" outlineLevel="0" collapsed="false">
      <c r="A6" s="25" t="s">
        <v>79</v>
      </c>
      <c r="B6" s="26" t="s">
        <v>80</v>
      </c>
    </row>
    <row r="7" customFormat="false" ht="15" hidden="false" customHeight="true" outlineLevel="0" collapsed="false">
      <c r="A7" s="27" t="s">
        <v>81</v>
      </c>
      <c r="B7" s="28" t="s">
        <v>82</v>
      </c>
    </row>
    <row r="8" customFormat="false" ht="55.5" hidden="false" customHeight="true" outlineLevel="0" collapsed="false">
      <c r="A8" s="29"/>
      <c r="B8" s="30" t="s">
        <v>83</v>
      </c>
    </row>
    <row r="9" customFormat="false" ht="15" hidden="false" customHeight="true" outlineLevel="0" collapsed="false">
      <c r="A9" s="27" t="s">
        <v>84</v>
      </c>
      <c r="B9" s="28" t="s">
        <v>85</v>
      </c>
    </row>
    <row r="10" customFormat="false" ht="55.5" hidden="false" customHeight="true" outlineLevel="0" collapsed="false">
      <c r="A10" s="29"/>
      <c r="B10" s="30" t="s">
        <v>86</v>
      </c>
    </row>
    <row r="11" customFormat="false" ht="15" hidden="false" customHeight="true" outlineLevel="0" collapsed="false">
      <c r="A11" s="27" t="s">
        <v>87</v>
      </c>
      <c r="B11" s="28" t="s">
        <v>88</v>
      </c>
    </row>
    <row r="12" customFormat="false" ht="79.5" hidden="false" customHeight="true" outlineLevel="0" collapsed="false">
      <c r="A12" s="29"/>
      <c r="B12" s="30" t="s">
        <v>89</v>
      </c>
    </row>
    <row r="13" customFormat="false" ht="15" hidden="false" customHeight="true" outlineLevel="0" collapsed="false">
      <c r="A13" s="27" t="s">
        <v>90</v>
      </c>
      <c r="B13" s="28" t="s">
        <v>91</v>
      </c>
    </row>
    <row r="14" customFormat="false" ht="43.5" hidden="false" customHeight="true" outlineLevel="0" collapsed="false">
      <c r="A14" s="29"/>
      <c r="B14" s="30" t="s">
        <v>92</v>
      </c>
    </row>
    <row r="15" customFormat="false" ht="15" hidden="false" customHeight="true" outlineLevel="0" collapsed="false">
      <c r="A15" s="27" t="s">
        <v>93</v>
      </c>
      <c r="B15" s="28" t="s">
        <v>94</v>
      </c>
    </row>
    <row r="16" customFormat="false" ht="43.5" hidden="false" customHeight="true" outlineLevel="0" collapsed="false">
      <c r="A16" s="29"/>
      <c r="B16" s="30" t="s">
        <v>95</v>
      </c>
    </row>
    <row r="17" customFormat="false" ht="15" hidden="false" customHeight="true" outlineLevel="0" collapsed="false">
      <c r="A17" s="27" t="s">
        <v>96</v>
      </c>
      <c r="B17" s="28" t="s">
        <v>97</v>
      </c>
    </row>
    <row r="18" customFormat="false" ht="43.5" hidden="false" customHeight="true" outlineLevel="0" collapsed="false">
      <c r="A18" s="29"/>
      <c r="B18" s="30" t="s">
        <v>98</v>
      </c>
    </row>
    <row r="19" customFormat="false" ht="24" hidden="false" customHeight="true" outlineLevel="0" collapsed="false">
      <c r="A19" s="25" t="s">
        <v>99</v>
      </c>
      <c r="B19" s="26" t="s">
        <v>100</v>
      </c>
    </row>
    <row r="20" customFormat="false" ht="15" hidden="false" customHeight="true" outlineLevel="0" collapsed="false">
      <c r="A20" s="27" t="s">
        <v>101</v>
      </c>
      <c r="B20" s="28" t="s">
        <v>102</v>
      </c>
    </row>
    <row r="21" customFormat="false" ht="43.5" hidden="false" customHeight="true" outlineLevel="0" collapsed="false">
      <c r="A21" s="29"/>
      <c r="B21" s="30" t="s">
        <v>103</v>
      </c>
    </row>
    <row r="22" customFormat="false" ht="24" hidden="false" customHeight="true" outlineLevel="0" collapsed="false">
      <c r="A22" s="25" t="s">
        <v>104</v>
      </c>
      <c r="B22" s="26" t="s">
        <v>105</v>
      </c>
    </row>
    <row r="23" customFormat="false" ht="15" hidden="false" customHeight="true" outlineLevel="0" collapsed="false">
      <c r="A23" s="27" t="s">
        <v>106</v>
      </c>
      <c r="B23" s="28" t="s">
        <v>107</v>
      </c>
    </row>
    <row r="24" customFormat="false" ht="55.5" hidden="false" customHeight="true" outlineLevel="0" collapsed="false">
      <c r="A24" s="29"/>
      <c r="B24" s="30" t="s">
        <v>108</v>
      </c>
    </row>
    <row r="25" customFormat="false" ht="15" hidden="false" customHeight="true" outlineLevel="0" collapsed="false">
      <c r="A25" s="27" t="s">
        <v>109</v>
      </c>
      <c r="B25" s="28" t="s">
        <v>110</v>
      </c>
    </row>
    <row r="26" customFormat="false" ht="43.5" hidden="false" customHeight="true" outlineLevel="0" collapsed="false">
      <c r="A26" s="29"/>
      <c r="B26" s="30" t="s">
        <v>111</v>
      </c>
    </row>
    <row r="27" customFormat="false" ht="24" hidden="false" customHeight="true" outlineLevel="0" collapsed="false">
      <c r="A27" s="25" t="s">
        <v>112</v>
      </c>
      <c r="B27" s="26" t="s">
        <v>113</v>
      </c>
    </row>
    <row r="28" customFormat="false" ht="15" hidden="false" customHeight="true" outlineLevel="0" collapsed="false">
      <c r="A28" s="27" t="s">
        <v>114</v>
      </c>
      <c r="B28" s="28" t="s">
        <v>115</v>
      </c>
    </row>
    <row r="29" customFormat="false" ht="31.5" hidden="false" customHeight="true" outlineLevel="0" collapsed="false">
      <c r="A29" s="29"/>
      <c r="B29" s="30" t="s">
        <v>116</v>
      </c>
    </row>
    <row r="30" customFormat="false" ht="15" hidden="false" customHeight="true" outlineLevel="0" collapsed="false">
      <c r="A30" s="27" t="s">
        <v>117</v>
      </c>
      <c r="B30" s="28" t="s">
        <v>118</v>
      </c>
    </row>
    <row r="31" customFormat="false" ht="31.5" hidden="false" customHeight="true" outlineLevel="0" collapsed="false">
      <c r="A31" s="29"/>
      <c r="B31" s="30" t="s">
        <v>119</v>
      </c>
    </row>
    <row r="32" customFormat="false" ht="15" hidden="false" customHeight="true" outlineLevel="0" collapsed="false">
      <c r="A32" s="27" t="s">
        <v>120</v>
      </c>
      <c r="B32" s="28" t="s">
        <v>121</v>
      </c>
    </row>
    <row r="33" customFormat="false" ht="31.5" hidden="false" customHeight="true" outlineLevel="0" collapsed="false">
      <c r="A33" s="29"/>
      <c r="B33" s="30" t="s">
        <v>122</v>
      </c>
    </row>
    <row r="34" customFormat="false" ht="15" hidden="false" customHeight="true" outlineLevel="0" collapsed="false">
      <c r="A34" s="27" t="s">
        <v>123</v>
      </c>
      <c r="B34" s="28" t="s">
        <v>124</v>
      </c>
    </row>
    <row r="35" customFormat="false" ht="43.5" hidden="false" customHeight="true" outlineLevel="0" collapsed="false">
      <c r="A35" s="29"/>
      <c r="B35" s="30" t="s">
        <v>125</v>
      </c>
    </row>
    <row r="36" customFormat="false" ht="24" hidden="false" customHeight="true" outlineLevel="0" collapsed="false">
      <c r="A36" s="25" t="s">
        <v>126</v>
      </c>
      <c r="B36" s="26" t="s">
        <v>127</v>
      </c>
    </row>
    <row r="37" customFormat="false" ht="15" hidden="false" customHeight="true" outlineLevel="0" collapsed="false">
      <c r="A37" s="27" t="s">
        <v>128</v>
      </c>
      <c r="B37" s="28" t="s">
        <v>129</v>
      </c>
    </row>
    <row r="38" customFormat="false" ht="43.5" hidden="false" customHeight="true" outlineLevel="0" collapsed="false">
      <c r="A38" s="29"/>
      <c r="B38" s="30" t="s">
        <v>130</v>
      </c>
    </row>
    <row r="39" customFormat="false" ht="15" hidden="false" customHeight="true" outlineLevel="0" collapsed="false">
      <c r="A39" s="27" t="s">
        <v>131</v>
      </c>
      <c r="B39" s="28" t="s">
        <v>132</v>
      </c>
    </row>
    <row r="40" customFormat="false" ht="31.5" hidden="false" customHeight="true" outlineLevel="0" collapsed="false">
      <c r="A40" s="29"/>
      <c r="B40" s="30" t="s">
        <v>133</v>
      </c>
    </row>
    <row r="41" customFormat="false" ht="15" hidden="false" customHeight="true" outlineLevel="0" collapsed="false">
      <c r="A41" s="27" t="s">
        <v>134</v>
      </c>
      <c r="B41" s="28" t="s">
        <v>135</v>
      </c>
    </row>
    <row r="42" customFormat="false" ht="31.5" hidden="false" customHeight="true" outlineLevel="0" collapsed="false">
      <c r="A42" s="29"/>
      <c r="B42" s="30" t="s">
        <v>136</v>
      </c>
    </row>
    <row r="43" customFormat="false" ht="15" hidden="false" customHeight="true" outlineLevel="0" collapsed="false">
      <c r="A43" s="27" t="s">
        <v>137</v>
      </c>
      <c r="B43" s="28" t="s">
        <v>138</v>
      </c>
    </row>
    <row r="44" customFormat="false" ht="31.5" hidden="false" customHeight="true" outlineLevel="0" collapsed="false">
      <c r="A44" s="29"/>
      <c r="B44" s="30" t="s">
        <v>139</v>
      </c>
    </row>
    <row r="45" customFormat="false" ht="15" hidden="false" customHeight="true" outlineLevel="0" collapsed="false">
      <c r="A45" s="27" t="s">
        <v>140</v>
      </c>
      <c r="B45" s="28" t="s">
        <v>141</v>
      </c>
    </row>
    <row r="46" customFormat="false" ht="31.5" hidden="false" customHeight="true" outlineLevel="0" collapsed="false">
      <c r="A46" s="29"/>
      <c r="B46" s="30" t="s">
        <v>142</v>
      </c>
    </row>
    <row r="47" customFormat="false" ht="15" hidden="false" customHeight="true" outlineLevel="0" collapsed="false">
      <c r="A47" s="27" t="s">
        <v>143</v>
      </c>
      <c r="B47" s="28" t="s">
        <v>144</v>
      </c>
    </row>
    <row r="48" customFormat="false" ht="31.5" hidden="false" customHeight="true" outlineLevel="0" collapsed="false">
      <c r="A48" s="29"/>
      <c r="B48" s="30" t="s">
        <v>145</v>
      </c>
    </row>
    <row r="49" customFormat="false" ht="15" hidden="false" customHeight="true" outlineLevel="0" collapsed="false">
      <c r="A49" s="27" t="s">
        <v>146</v>
      </c>
      <c r="B49" s="28" t="s">
        <v>147</v>
      </c>
    </row>
    <row r="50" customFormat="false" ht="31.5" hidden="false" customHeight="true" outlineLevel="0" collapsed="false">
      <c r="A50" s="29"/>
      <c r="B50" s="30" t="s">
        <v>148</v>
      </c>
    </row>
    <row r="51" customFormat="false" ht="24" hidden="false" customHeight="true" outlineLevel="0" collapsed="false">
      <c r="A51" s="25" t="s">
        <v>149</v>
      </c>
      <c r="B51" s="26" t="s">
        <v>150</v>
      </c>
    </row>
    <row r="52" customFormat="false" ht="15" hidden="false" customHeight="true" outlineLevel="0" collapsed="false">
      <c r="A52" s="27" t="s">
        <v>151</v>
      </c>
      <c r="B52" s="28" t="s">
        <v>150</v>
      </c>
    </row>
    <row r="53" customFormat="false" ht="43.5" hidden="false" customHeight="true" outlineLevel="0" collapsed="false">
      <c r="A53" s="29"/>
      <c r="B53" s="30" t="s">
        <v>152</v>
      </c>
    </row>
    <row r="54" customFormat="false" ht="15" hidden="false" customHeight="true" outlineLevel="0" collapsed="false">
      <c r="A54" s="27" t="s">
        <v>153</v>
      </c>
      <c r="B54" s="28" t="s">
        <v>154</v>
      </c>
    </row>
    <row r="55" customFormat="false" ht="31.5" hidden="false" customHeight="true" outlineLevel="0" collapsed="false">
      <c r="A55" s="29"/>
      <c r="B55" s="30" t="s">
        <v>155</v>
      </c>
    </row>
    <row r="56" customFormat="false" ht="24" hidden="false" customHeight="true" outlineLevel="0" collapsed="false">
      <c r="A56" s="25" t="s">
        <v>156</v>
      </c>
      <c r="B56" s="26" t="s">
        <v>157</v>
      </c>
    </row>
    <row r="57" customFormat="false" ht="15" hidden="false" customHeight="true" outlineLevel="0" collapsed="false">
      <c r="A57" s="27" t="s">
        <v>158</v>
      </c>
      <c r="B57" s="28" t="s">
        <v>159</v>
      </c>
    </row>
    <row r="58" customFormat="false" ht="43.5" hidden="false" customHeight="true" outlineLevel="0" collapsed="false">
      <c r="A58" s="29"/>
      <c r="B58" s="30" t="s">
        <v>160</v>
      </c>
    </row>
    <row r="59" customFormat="false" ht="24" hidden="false" customHeight="true" outlineLevel="0" collapsed="false">
      <c r="A59" s="25" t="s">
        <v>161</v>
      </c>
      <c r="B59" s="26" t="s">
        <v>162</v>
      </c>
    </row>
    <row r="60" customFormat="false" ht="15" hidden="false" customHeight="true" outlineLevel="0" collapsed="false">
      <c r="A60" s="27" t="s">
        <v>163</v>
      </c>
      <c r="B60" s="28" t="s">
        <v>164</v>
      </c>
    </row>
    <row r="61" customFormat="false" ht="55.5" hidden="false" customHeight="true" outlineLevel="0" collapsed="false">
      <c r="A61" s="29"/>
      <c r="B61" s="30" t="s">
        <v>165</v>
      </c>
    </row>
    <row r="62" customFormat="false" ht="15" hidden="false" customHeight="true" outlineLevel="0" collapsed="false">
      <c r="A62" s="27" t="s">
        <v>166</v>
      </c>
      <c r="B62" s="28" t="s">
        <v>167</v>
      </c>
    </row>
    <row r="63" customFormat="false" ht="43.5" hidden="false" customHeight="true" outlineLevel="0" collapsed="false">
      <c r="A63" s="29"/>
      <c r="B63" s="30" t="s">
        <v>168</v>
      </c>
    </row>
    <row r="64" customFormat="false" ht="24" hidden="false" customHeight="true" outlineLevel="0" collapsed="false">
      <c r="A64" s="25" t="s">
        <v>169</v>
      </c>
      <c r="B64" s="26" t="s">
        <v>170</v>
      </c>
    </row>
    <row r="65" customFormat="false" ht="15" hidden="false" customHeight="true" outlineLevel="0" collapsed="false">
      <c r="A65" s="27" t="s">
        <v>171</v>
      </c>
      <c r="B65" s="28" t="s">
        <v>170</v>
      </c>
    </row>
    <row r="66" customFormat="false" ht="31.5" hidden="false" customHeight="true" outlineLevel="0" collapsed="false">
      <c r="A66" s="29"/>
      <c r="B66" s="30" t="s">
        <v>172</v>
      </c>
    </row>
    <row r="67" customFormat="false" ht="24" hidden="false" customHeight="true" outlineLevel="0" collapsed="false">
      <c r="A67" s="25" t="s">
        <v>173</v>
      </c>
      <c r="B67" s="26" t="s">
        <v>174</v>
      </c>
    </row>
    <row r="68" customFormat="false" ht="15" hidden="false" customHeight="true" outlineLevel="0" collapsed="false">
      <c r="A68" s="27" t="s">
        <v>175</v>
      </c>
      <c r="B68" s="28" t="s">
        <v>176</v>
      </c>
    </row>
    <row r="69" customFormat="false" ht="43.5" hidden="false" customHeight="true" outlineLevel="0" collapsed="false">
      <c r="A69" s="29"/>
      <c r="B69" s="30" t="s">
        <v>177</v>
      </c>
    </row>
    <row r="70" customFormat="false" ht="15" hidden="false" customHeight="true" outlineLevel="0" collapsed="false">
      <c r="A70" s="27" t="s">
        <v>178</v>
      </c>
      <c r="B70" s="28" t="s">
        <v>179</v>
      </c>
    </row>
    <row r="71" customFormat="false" ht="31.5" hidden="false" customHeight="true" outlineLevel="0" collapsed="false">
      <c r="A71" s="29"/>
      <c r="B71" s="30" t="s">
        <v>180</v>
      </c>
    </row>
    <row r="72" customFormat="false" ht="15" hidden="false" customHeight="true" outlineLevel="0" collapsed="false">
      <c r="A72" s="27" t="s">
        <v>181</v>
      </c>
      <c r="B72" s="28" t="s">
        <v>182</v>
      </c>
    </row>
    <row r="73" customFormat="false" ht="19.5" hidden="false" customHeight="true" outlineLevel="0" collapsed="false">
      <c r="A73" s="29"/>
      <c r="B73" s="30" t="s">
        <v>183</v>
      </c>
    </row>
    <row r="74" customFormat="false" ht="15" hidden="false" customHeight="true" outlineLevel="0" collapsed="false">
      <c r="A74" s="27" t="s">
        <v>184</v>
      </c>
      <c r="B74" s="28" t="s">
        <v>185</v>
      </c>
    </row>
    <row r="75" customFormat="false" ht="31.5" hidden="false" customHeight="true" outlineLevel="0" collapsed="false">
      <c r="A75" s="29"/>
      <c r="B75" s="30" t="s">
        <v>186</v>
      </c>
    </row>
    <row r="76" customFormat="false" ht="15" hidden="false" customHeight="true" outlineLevel="0" collapsed="false">
      <c r="A76" s="27" t="s">
        <v>187</v>
      </c>
      <c r="B76" s="28" t="s">
        <v>188</v>
      </c>
    </row>
    <row r="77" customFormat="false" ht="31.5" hidden="false" customHeight="true" outlineLevel="0" collapsed="false">
      <c r="A77" s="29"/>
      <c r="B77" s="30" t="s">
        <v>189</v>
      </c>
    </row>
    <row r="78" customFormat="false" ht="24" hidden="false" customHeight="true" outlineLevel="0" collapsed="false">
      <c r="A78" s="25" t="s">
        <v>190</v>
      </c>
      <c r="B78" s="26" t="s">
        <v>191</v>
      </c>
    </row>
    <row r="79" customFormat="false" ht="15" hidden="false" customHeight="true" outlineLevel="0" collapsed="false">
      <c r="A79" s="27" t="s">
        <v>192</v>
      </c>
      <c r="B79" s="28" t="s">
        <v>193</v>
      </c>
    </row>
    <row r="80" customFormat="false" ht="43.5" hidden="false" customHeight="true" outlineLevel="0" collapsed="false">
      <c r="A80" s="29"/>
      <c r="B80" s="30" t="s">
        <v>194</v>
      </c>
    </row>
    <row r="81" customFormat="false" ht="15" hidden="false" customHeight="true" outlineLevel="0" collapsed="false">
      <c r="A81" s="27" t="s">
        <v>195</v>
      </c>
      <c r="B81" s="28" t="s">
        <v>196</v>
      </c>
    </row>
    <row r="82" customFormat="false" ht="31.5" hidden="false" customHeight="true" outlineLevel="0" collapsed="false">
      <c r="A82" s="29"/>
      <c r="B82" s="30" t="s">
        <v>197</v>
      </c>
    </row>
    <row r="83" customFormat="false" ht="24" hidden="false" customHeight="true" outlineLevel="0" collapsed="false">
      <c r="A83" s="25" t="s">
        <v>198</v>
      </c>
      <c r="B83" s="26" t="s">
        <v>199</v>
      </c>
    </row>
    <row r="84" customFormat="false" ht="15" hidden="false" customHeight="true" outlineLevel="0" collapsed="false">
      <c r="A84" s="27" t="s">
        <v>200</v>
      </c>
      <c r="B84" s="28" t="s">
        <v>201</v>
      </c>
    </row>
    <row r="85" customFormat="false" ht="43.5" hidden="false" customHeight="true" outlineLevel="0" collapsed="false">
      <c r="A85" s="29"/>
      <c r="B85" s="30" t="s">
        <v>202</v>
      </c>
    </row>
    <row r="86" customFormat="false" ht="15" hidden="false" customHeight="true" outlineLevel="0" collapsed="false">
      <c r="A86" s="27" t="s">
        <v>203</v>
      </c>
      <c r="B86" s="28" t="s">
        <v>204</v>
      </c>
    </row>
    <row r="87" customFormat="false" ht="31.5" hidden="false" customHeight="true" outlineLevel="0" collapsed="false">
      <c r="A87" s="29"/>
      <c r="B87" s="30" t="s">
        <v>205</v>
      </c>
    </row>
    <row r="88" customFormat="false" ht="15" hidden="false" customHeight="true" outlineLevel="0" collapsed="false">
      <c r="A88" s="27" t="s">
        <v>206</v>
      </c>
      <c r="B88" s="28" t="s">
        <v>207</v>
      </c>
    </row>
    <row r="89" customFormat="false" ht="43.5" hidden="false" customHeight="true" outlineLevel="0" collapsed="false">
      <c r="A89" s="29"/>
      <c r="B89" s="30" t="s">
        <v>208</v>
      </c>
    </row>
    <row r="90" customFormat="false" ht="15" hidden="false" customHeight="true" outlineLevel="0" collapsed="false">
      <c r="A90" s="27" t="s">
        <v>209</v>
      </c>
      <c r="B90" s="28" t="s">
        <v>210</v>
      </c>
    </row>
    <row r="91" customFormat="false" ht="31.5" hidden="false" customHeight="true" outlineLevel="0" collapsed="false">
      <c r="A91" s="29"/>
      <c r="B91" s="30" t="s">
        <v>211</v>
      </c>
    </row>
    <row r="92" customFormat="false" ht="24" hidden="false" customHeight="true" outlineLevel="0" collapsed="false">
      <c r="A92" s="25" t="s">
        <v>212</v>
      </c>
      <c r="B92" s="26" t="s">
        <v>213</v>
      </c>
    </row>
    <row r="93" customFormat="false" ht="15" hidden="false" customHeight="true" outlineLevel="0" collapsed="false">
      <c r="A93" s="27" t="s">
        <v>214</v>
      </c>
      <c r="B93" s="28" t="s">
        <v>215</v>
      </c>
    </row>
    <row r="94" customFormat="false" ht="43.5" hidden="false" customHeight="true" outlineLevel="0" collapsed="false">
      <c r="A94" s="29"/>
      <c r="B94" s="30" t="s">
        <v>216</v>
      </c>
    </row>
    <row r="95" customFormat="false" ht="15" hidden="false" customHeight="true" outlineLevel="0" collapsed="false">
      <c r="A95" s="27" t="s">
        <v>217</v>
      </c>
      <c r="B95" s="28" t="s">
        <v>218</v>
      </c>
    </row>
    <row r="96" customFormat="false" ht="31.5" hidden="false" customHeight="true" outlineLevel="0" collapsed="false">
      <c r="A96" s="29"/>
      <c r="B96" s="30" t="s">
        <v>219</v>
      </c>
    </row>
    <row r="97" customFormat="false" ht="24" hidden="false" customHeight="true" outlineLevel="0" collapsed="false">
      <c r="A97" s="25" t="s">
        <v>220</v>
      </c>
      <c r="B97" s="26" t="s">
        <v>221</v>
      </c>
    </row>
    <row r="98" customFormat="false" ht="15" hidden="false" customHeight="true" outlineLevel="0" collapsed="false">
      <c r="A98" s="27" t="s">
        <v>222</v>
      </c>
      <c r="B98" s="28" t="s">
        <v>223</v>
      </c>
    </row>
    <row r="99" customFormat="false" ht="31.5" hidden="false" customHeight="true" outlineLevel="0" collapsed="false">
      <c r="A99" s="29"/>
      <c r="B99" s="30" t="s">
        <v>224</v>
      </c>
    </row>
  </sheetData>
  <printOptions headings="false" gridLines="false" gridLinesSet="true" horizontalCentered="true" verticalCentered="false"/>
  <pageMargins left="0.45" right="0.45" top="0.6" bottom="0.6"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&amp;LRidgeline Construction&amp;CPage &amp;P of &amp;N&amp;R&amp;D</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O1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2" outlineLevelCol="0"/>
  <cols>
    <col collapsed="false" customWidth="true" hidden="false" outlineLevel="0" max="1" min="1" style="1" width="8"/>
    <col collapsed="false" customWidth="true" hidden="false" outlineLevel="0" max="2" min="2" style="1" width="50"/>
    <col collapsed="false" customWidth="true" hidden="false" outlineLevel="0" max="3" min="3" style="1" width="13"/>
    <col collapsed="false" customWidth="true" hidden="false" outlineLevel="0" max="4" min="4" style="1" width="12"/>
    <col collapsed="false" customWidth="true" hidden="false" outlineLevel="0" max="5" min="5" style="1" width="16"/>
    <col collapsed="false" customWidth="true" hidden="false" outlineLevel="0" max="6" min="6" style="1" width="17"/>
    <col collapsed="false" customWidth="true" hidden="false" outlineLevel="0" max="7" min="7" style="1" width="2"/>
    <col collapsed="false" customWidth="true" hidden="false" outlineLevel="0" max="8" min="8" style="1" width="13"/>
    <col collapsed="false" customWidth="true" hidden="false" outlineLevel="0" max="9" min="9" style="1" width="10"/>
    <col collapsed="false" customWidth="true" hidden="false" outlineLevel="0" max="10" min="10" style="1" width="6"/>
    <col collapsed="false" customWidth="true" hidden="false" outlineLevel="0" max="11" min="11" style="1" width="7"/>
    <col collapsed="false" customWidth="true" hidden="false" outlineLevel="0" max="12" min="12" style="1" width="6"/>
    <col collapsed="false" customWidth="true" hidden="false" outlineLevel="0" max="13" min="13" style="1" width="14"/>
    <col collapsed="false" customWidth="true" hidden="false" outlineLevel="0" max="14" min="14" style="1" width="54"/>
    <col collapsed="false" customWidth="true" hidden="false" outlineLevel="0" max="15" min="15" style="1" width="7"/>
  </cols>
  <sheetData>
    <row r="1" customFormat="false" ht="42" hidden="false" customHeight="true" outlineLevel="0" collapsed="false">
      <c r="D1" s="31" t="s">
        <v>225</v>
      </c>
      <c r="E1" s="31"/>
      <c r="F1" s="31"/>
    </row>
    <row r="2" customFormat="false" ht="15.75" hidden="false" customHeight="true" outlineLevel="0" collapsed="false">
      <c r="D2" s="32" t="str">
        <f aca="false">Settings!C40&amp;"   •   "&amp;Settings!C41</f>
        <v>PO Box 516, Longview, WA 98632   •   360-200-1716</v>
      </c>
      <c r="E2" s="32"/>
      <c r="F2" s="32"/>
    </row>
    <row r="3" customFormat="false" ht="15" hidden="false" customHeight="true" outlineLevel="0" collapsed="false">
      <c r="D3" s="33" t="str">
        <f aca="false">"Project:  "&amp;Settings!C8&amp;"        Estimate  "&amp;Settings!C10</f>
        <v>Project:  Truesdell SFD        Estimate  EST-1001</v>
      </c>
      <c r="E3" s="33"/>
      <c r="F3" s="33"/>
    </row>
    <row r="4" customFormat="false" ht="15" hidden="false" customHeight="true" outlineLevel="0" collapsed="false">
      <c r="H4" s="34" t="s">
        <v>226</v>
      </c>
      <c r="I4" s="34"/>
      <c r="J4" s="34"/>
      <c r="K4" s="34"/>
      <c r="L4" s="34"/>
      <c r="M4" s="34"/>
      <c r="N4" s="34"/>
    </row>
    <row r="5" customFormat="false" ht="30" hidden="false" customHeight="true" outlineLevel="0" collapsed="false">
      <c r="A5" s="35" t="s">
        <v>77</v>
      </c>
      <c r="B5" s="36" t="s">
        <v>227</v>
      </c>
      <c r="C5" s="37" t="s">
        <v>228</v>
      </c>
      <c r="D5" s="37" t="s">
        <v>229</v>
      </c>
      <c r="E5" s="37" t="s">
        <v>230</v>
      </c>
      <c r="F5" s="37" t="s">
        <v>231</v>
      </c>
      <c r="H5" s="38" t="s">
        <v>232</v>
      </c>
      <c r="I5" s="38" t="s">
        <v>233</v>
      </c>
      <c r="J5" s="38" t="s">
        <v>234</v>
      </c>
      <c r="K5" s="38" t="s">
        <v>235</v>
      </c>
      <c r="L5" s="38" t="s">
        <v>236</v>
      </c>
      <c r="M5" s="38" t="s">
        <v>237</v>
      </c>
      <c r="N5" s="38" t="s">
        <v>238</v>
      </c>
      <c r="O5" s="38" t="s">
        <v>239</v>
      </c>
    </row>
    <row r="6" customFormat="false" ht="24" hidden="false" customHeight="true" outlineLevel="0" collapsed="false">
      <c r="A6" s="25" t="s">
        <v>79</v>
      </c>
      <c r="B6" s="26" t="s">
        <v>80</v>
      </c>
      <c r="C6" s="26"/>
      <c r="D6" s="26"/>
      <c r="E6" s="26"/>
      <c r="F6" s="39" t="n">
        <f aca="false">F7+F9+F12+F17+F21+F23</f>
        <v>0</v>
      </c>
    </row>
    <row r="7" customFormat="false" ht="18" hidden="false" customHeight="true" outlineLevel="1" collapsed="false">
      <c r="A7" s="40" t="s">
        <v>81</v>
      </c>
      <c r="B7" s="41" t="str">
        <f aca="false">"Permits"&amp;IF($K7="Y","   (Allowance)","")</f>
        <v>Permits   (Allowance)</v>
      </c>
      <c r="C7" s="41"/>
      <c r="D7" s="41"/>
      <c r="E7" s="41"/>
      <c r="F7" s="42" t="n">
        <f aca="false">SUM(E8)</f>
        <v>0</v>
      </c>
      <c r="K7" s="43" t="s">
        <v>240</v>
      </c>
      <c r="O7" s="44" t="s">
        <v>240</v>
      </c>
    </row>
    <row r="8" customFormat="false" ht="15" hidden="false" customHeight="true" outlineLevel="2" collapsed="false">
      <c r="A8" s="45"/>
      <c r="B8" s="46" t="s">
        <v>241</v>
      </c>
      <c r="C8" s="47" t="n">
        <f aca="false">IF($L8="Y",0,H8*(1+I8))</f>
        <v>0</v>
      </c>
      <c r="D8" s="47" t="n">
        <f aca="false">IF(J8="Y",C8*Settings!$C$34,0)</f>
        <v>0</v>
      </c>
      <c r="E8" s="47" t="n">
        <f aca="false">C8+D8</f>
        <v>0</v>
      </c>
      <c r="F8" s="48"/>
      <c r="H8" s="49" t="n">
        <v>0</v>
      </c>
      <c r="I8" s="50" t="n">
        <v>0</v>
      </c>
      <c r="J8" s="43" t="s">
        <v>242</v>
      </c>
      <c r="L8" s="43" t="s">
        <v>242</v>
      </c>
      <c r="M8" s="51" t="n">
        <v>8000</v>
      </c>
      <c r="N8" s="52" t="s">
        <v>243</v>
      </c>
    </row>
    <row r="9" customFormat="false" ht="18" hidden="false" customHeight="true" outlineLevel="1" collapsed="false">
      <c r="A9" s="40" t="s">
        <v>84</v>
      </c>
      <c r="B9" s="41" t="str">
        <f aca="false">"Electrical Utility Connections"&amp;IF($K9="Y","   (Allowance)","")</f>
        <v>Electrical Utility Connections   (Allowance)</v>
      </c>
      <c r="C9" s="41"/>
      <c r="D9" s="41"/>
      <c r="E9" s="41"/>
      <c r="F9" s="42" t="n">
        <f aca="false">SUM(E10:E11)</f>
        <v>0</v>
      </c>
      <c r="K9" s="43" t="s">
        <v>240</v>
      </c>
      <c r="O9" s="44" t="s">
        <v>240</v>
      </c>
    </row>
    <row r="10" customFormat="false" ht="15" hidden="false" customHeight="true" outlineLevel="2" collapsed="false">
      <c r="A10" s="53"/>
      <c r="B10" s="54" t="s">
        <v>244</v>
      </c>
      <c r="C10" s="55" t="n">
        <f aca="false">IF($L10="Y",0,H10*(1+I10))</f>
        <v>0</v>
      </c>
      <c r="D10" s="55" t="n">
        <f aca="false">IF(J10="Y",C10*Settings!$C$34,0)</f>
        <v>0</v>
      </c>
      <c r="E10" s="55" t="n">
        <f aca="false">C10+D10</f>
        <v>0</v>
      </c>
      <c r="F10" s="56"/>
      <c r="H10" s="49" t="n">
        <v>0</v>
      </c>
      <c r="I10" s="50" t="n">
        <v>0</v>
      </c>
      <c r="J10" s="43" t="s">
        <v>242</v>
      </c>
      <c r="L10" s="43" t="s">
        <v>242</v>
      </c>
      <c r="M10" s="51" t="n">
        <v>7500</v>
      </c>
      <c r="N10" s="52" t="s">
        <v>243</v>
      </c>
    </row>
    <row r="11" customFormat="false" ht="15" hidden="false" customHeight="true" outlineLevel="2" collapsed="false">
      <c r="A11" s="45"/>
      <c r="B11" s="46" t="s">
        <v>245</v>
      </c>
      <c r="C11" s="47" t="n">
        <f aca="false">IF($L11="Y",0,H11*(1+I11))</f>
        <v>0</v>
      </c>
      <c r="D11" s="47" t="n">
        <f aca="false">IF(J11="Y",C11*Settings!$C$34,0)</f>
        <v>0</v>
      </c>
      <c r="E11" s="47" t="n">
        <f aca="false">C11+D11</f>
        <v>0</v>
      </c>
      <c r="F11" s="48"/>
      <c r="H11" s="49" t="n">
        <v>0</v>
      </c>
      <c r="I11" s="50" t="n">
        <v>0</v>
      </c>
      <c r="J11" s="43" t="s">
        <v>242</v>
      </c>
      <c r="L11" s="43" t="s">
        <v>242</v>
      </c>
      <c r="M11" s="51" t="n">
        <f aca="false">2500</f>
        <v>2500</v>
      </c>
      <c r="N11" s="52" t="s">
        <v>246</v>
      </c>
    </row>
    <row r="12" customFormat="false" ht="18" hidden="false" customHeight="true" outlineLevel="1" collapsed="false">
      <c r="A12" s="40" t="s">
        <v>87</v>
      </c>
      <c r="B12" s="41" t="str">
        <f aca="false">"Excavation"&amp;IF($K12="Y","   (Allowance)","")</f>
        <v>Excavation   (Allowance)</v>
      </c>
      <c r="C12" s="41"/>
      <c r="D12" s="41"/>
      <c r="E12" s="41"/>
      <c r="F12" s="42" t="n">
        <f aca="false">SUM(E13:E16)</f>
        <v>0</v>
      </c>
      <c r="K12" s="43" t="s">
        <v>240</v>
      </c>
      <c r="O12" s="44" t="s">
        <v>240</v>
      </c>
    </row>
    <row r="13" customFormat="false" ht="15" hidden="false" customHeight="true" outlineLevel="2" collapsed="false">
      <c r="A13" s="53"/>
      <c r="B13" s="54" t="s">
        <v>247</v>
      </c>
      <c r="C13" s="55" t="n">
        <f aca="false">IF($L13="Y",0,H13*(1+I13))</f>
        <v>0</v>
      </c>
      <c r="D13" s="55" t="n">
        <f aca="false">IF(J13="Y",C13*Settings!$C$34,0)</f>
        <v>0</v>
      </c>
      <c r="E13" s="55" t="n">
        <f aca="false">C13+D13</f>
        <v>0</v>
      </c>
      <c r="F13" s="56"/>
      <c r="H13" s="49" t="n">
        <v>0</v>
      </c>
      <c r="I13" s="57" t="n">
        <f aca="false">Settings!$C$35</f>
        <v>0.2</v>
      </c>
      <c r="J13" s="43" t="s">
        <v>240</v>
      </c>
      <c r="L13" s="43" t="s">
        <v>242</v>
      </c>
      <c r="M13" s="51" t="n">
        <v>4095</v>
      </c>
      <c r="N13" s="52" t="s">
        <v>243</v>
      </c>
    </row>
    <row r="14" customFormat="false" ht="15" hidden="false" customHeight="true" outlineLevel="2" collapsed="false">
      <c r="A14" s="53"/>
      <c r="B14" s="54" t="s">
        <v>248</v>
      </c>
      <c r="C14" s="55" t="n">
        <f aca="false">IF($L14="Y",0,H14*(1+I14))</f>
        <v>0</v>
      </c>
      <c r="D14" s="55" t="n">
        <f aca="false">IF(J14="Y",C14*Settings!$C$34,0)</f>
        <v>0</v>
      </c>
      <c r="E14" s="55" t="n">
        <f aca="false">C14+D14</f>
        <v>0</v>
      </c>
      <c r="F14" s="56"/>
      <c r="H14" s="49" t="n">
        <v>0</v>
      </c>
      <c r="I14" s="57" t="n">
        <f aca="false">Settings!$C$35</f>
        <v>0.2</v>
      </c>
      <c r="J14" s="43" t="s">
        <v>240</v>
      </c>
      <c r="L14" s="43" t="s">
        <v>242</v>
      </c>
      <c r="M14" s="51" t="n">
        <v>3510</v>
      </c>
      <c r="N14" s="52" t="s">
        <v>243</v>
      </c>
    </row>
    <row r="15" customFormat="false" ht="15" hidden="false" customHeight="true" outlineLevel="2" collapsed="false">
      <c r="A15" s="53"/>
      <c r="B15" s="54" t="s">
        <v>249</v>
      </c>
      <c r="C15" s="55" t="n">
        <f aca="false">IF($L15="Y",0,H15*(1+I15))</f>
        <v>0</v>
      </c>
      <c r="D15" s="55" t="n">
        <f aca="false">IF(J15="Y",C15*Settings!$C$34,0)</f>
        <v>0</v>
      </c>
      <c r="E15" s="55" t="n">
        <f aca="false">C15+D15</f>
        <v>0</v>
      </c>
      <c r="F15" s="56"/>
      <c r="H15" s="49" t="n">
        <v>0</v>
      </c>
      <c r="I15" s="57" t="n">
        <f aca="false">Settings!$C$35</f>
        <v>0.2</v>
      </c>
      <c r="J15" s="43" t="s">
        <v>240</v>
      </c>
      <c r="L15" s="43" t="s">
        <v>242</v>
      </c>
      <c r="M15" s="51" t="n">
        <v>5850</v>
      </c>
      <c r="N15" s="52" t="s">
        <v>243</v>
      </c>
    </row>
    <row r="16" customFormat="false" ht="15" hidden="false" customHeight="true" outlineLevel="2" collapsed="false">
      <c r="A16" s="45"/>
      <c r="B16" s="46" t="s">
        <v>250</v>
      </c>
      <c r="C16" s="47" t="n">
        <f aca="false">IF($L16="Y",0,H16*(1+I16))</f>
        <v>0</v>
      </c>
      <c r="D16" s="47" t="n">
        <f aca="false">IF(J16="Y",C16*Settings!$C$34,0)</f>
        <v>0</v>
      </c>
      <c r="E16" s="47" t="n">
        <f aca="false">C16+D16</f>
        <v>0</v>
      </c>
      <c r="F16" s="48"/>
      <c r="H16" s="49" t="n">
        <v>0</v>
      </c>
      <c r="I16" s="57" t="n">
        <f aca="false">Settings!$C$35</f>
        <v>0.2</v>
      </c>
      <c r="J16" s="43" t="s">
        <v>240</v>
      </c>
      <c r="L16" s="43" t="s">
        <v>242</v>
      </c>
      <c r="M16" s="51" t="n">
        <v>5850</v>
      </c>
      <c r="N16" s="52" t="s">
        <v>243</v>
      </c>
    </row>
    <row r="17" customFormat="false" ht="18" hidden="false" customHeight="true" outlineLevel="1" collapsed="false">
      <c r="A17" s="40" t="s">
        <v>90</v>
      </c>
      <c r="B17" s="41" t="str">
        <f aca="false">"Septic system design &amp; install"&amp;IF($K17="Y","   (Allowance)","")</f>
        <v>Septic system design &amp; install   (Allowance)</v>
      </c>
      <c r="C17" s="41"/>
      <c r="D17" s="41"/>
      <c r="E17" s="41"/>
      <c r="F17" s="42" t="n">
        <f aca="false">SUM(E18:E20)</f>
        <v>0</v>
      </c>
      <c r="K17" s="43" t="s">
        <v>240</v>
      </c>
      <c r="O17" s="44" t="s">
        <v>240</v>
      </c>
    </row>
    <row r="18" customFormat="false" ht="15" hidden="false" customHeight="true" outlineLevel="2" collapsed="false">
      <c r="A18" s="53"/>
      <c r="B18" s="54" t="s">
        <v>251</v>
      </c>
      <c r="C18" s="55" t="n">
        <f aca="false">IF($L18="Y",0,H18*(1+I18))</f>
        <v>0</v>
      </c>
      <c r="D18" s="55" t="n">
        <f aca="false">IF(J18="Y",C18*Settings!$C$34,0)</f>
        <v>0</v>
      </c>
      <c r="E18" s="55" t="n">
        <f aca="false">C18+D18</f>
        <v>0</v>
      </c>
      <c r="F18" s="56"/>
      <c r="H18" s="49" t="n">
        <v>0</v>
      </c>
      <c r="I18" s="57" t="n">
        <f aca="false">Settings!$C$35</f>
        <v>0.2</v>
      </c>
      <c r="J18" s="43" t="s">
        <v>240</v>
      </c>
      <c r="L18" s="43" t="s">
        <v>242</v>
      </c>
      <c r="M18" s="51" t="n">
        <v>14040</v>
      </c>
      <c r="N18" s="52" t="s">
        <v>243</v>
      </c>
    </row>
    <row r="19" customFormat="false" ht="15" hidden="false" customHeight="true" outlineLevel="2" collapsed="false">
      <c r="A19" s="53"/>
      <c r="B19" s="54" t="s">
        <v>252</v>
      </c>
      <c r="C19" s="55" t="n">
        <f aca="false">IF($L19="Y",0,H19*(1+I19))</f>
        <v>0</v>
      </c>
      <c r="D19" s="55" t="n">
        <f aca="false">IF(J19="Y",C19*Settings!$C$34,0)</f>
        <v>0</v>
      </c>
      <c r="E19" s="55" t="n">
        <f aca="false">C19+D19</f>
        <v>0</v>
      </c>
      <c r="F19" s="56"/>
      <c r="H19" s="49" t="n">
        <v>0</v>
      </c>
      <c r="I19" s="57" t="n">
        <f aca="false">Settings!$C$35</f>
        <v>0.2</v>
      </c>
      <c r="J19" s="43" t="s">
        <v>240</v>
      </c>
      <c r="L19" s="43" t="s">
        <v>242</v>
      </c>
      <c r="M19" s="51" t="n">
        <v>1404</v>
      </c>
      <c r="N19" s="52" t="s">
        <v>243</v>
      </c>
    </row>
    <row r="20" customFormat="false" ht="15" hidden="false" customHeight="true" outlineLevel="2" collapsed="false">
      <c r="A20" s="45"/>
      <c r="B20" s="46" t="s">
        <v>253</v>
      </c>
      <c r="C20" s="47" t="n">
        <f aca="false">IF($L20="Y",0,H20*(1+I20))</f>
        <v>0</v>
      </c>
      <c r="D20" s="47" t="n">
        <f aca="false">IF(J20="Y",C20*Settings!$C$34,0)</f>
        <v>0</v>
      </c>
      <c r="E20" s="47" t="n">
        <f aca="false">C20+D20</f>
        <v>0</v>
      </c>
      <c r="F20" s="48"/>
      <c r="H20" s="49" t="n">
        <v>0</v>
      </c>
      <c r="I20" s="57" t="n">
        <f aca="false">Settings!$C$35</f>
        <v>0.2</v>
      </c>
      <c r="J20" s="43" t="s">
        <v>240</v>
      </c>
      <c r="L20" s="43" t="s">
        <v>242</v>
      </c>
      <c r="M20" s="51" t="n">
        <v>1170</v>
      </c>
      <c r="N20" s="52" t="s">
        <v>243</v>
      </c>
    </row>
    <row r="21" customFormat="false" ht="18" hidden="false" customHeight="true" outlineLevel="1" collapsed="false">
      <c r="A21" s="40" t="s">
        <v>93</v>
      </c>
      <c r="B21" s="41" t="str">
        <f aca="false">"Well setup"&amp;IF($K21="Y","   (Allowance)","")</f>
        <v>Well setup   (Allowance)</v>
      </c>
      <c r="C21" s="41"/>
      <c r="D21" s="41"/>
      <c r="E21" s="41"/>
      <c r="F21" s="42" t="n">
        <f aca="false">SUM(E22)</f>
        <v>0</v>
      </c>
      <c r="K21" s="43" t="s">
        <v>240</v>
      </c>
      <c r="O21" s="44" t="s">
        <v>242</v>
      </c>
    </row>
    <row r="22" customFormat="false" ht="15" hidden="false" customHeight="true" outlineLevel="2" collapsed="false">
      <c r="A22" s="45"/>
      <c r="B22" s="46" t="s">
        <v>254</v>
      </c>
      <c r="C22" s="47" t="n">
        <f aca="false">IF($L22="Y",0,H22*(1+I22))</f>
        <v>0</v>
      </c>
      <c r="D22" s="47" t="n">
        <f aca="false">IF(J22="Y",C22*Settings!$C$34,0)</f>
        <v>0</v>
      </c>
      <c r="E22" s="47" t="n">
        <f aca="false">C22+D22</f>
        <v>0</v>
      </c>
      <c r="F22" s="48"/>
      <c r="H22" s="49" t="n">
        <v>0</v>
      </c>
      <c r="I22" s="50" t="n">
        <v>0</v>
      </c>
      <c r="J22" s="43" t="s">
        <v>240</v>
      </c>
      <c r="L22" s="43" t="s">
        <v>242</v>
      </c>
      <c r="M22" s="51" t="n">
        <v>0</v>
      </c>
      <c r="N22" s="52" t="s">
        <v>255</v>
      </c>
    </row>
    <row r="23" customFormat="false" ht="18" hidden="false" customHeight="true" outlineLevel="1" collapsed="false">
      <c r="A23" s="40" t="s">
        <v>96</v>
      </c>
      <c r="B23" s="41" t="str">
        <f aca="false">"Job site services"&amp;IF($K23="Y","   (Allowance)","")</f>
        <v>Job site services</v>
      </c>
      <c r="C23" s="41"/>
      <c r="D23" s="41"/>
      <c r="E23" s="41"/>
      <c r="F23" s="42" t="n">
        <f aca="false">SUM(E24:E26)</f>
        <v>0</v>
      </c>
      <c r="K23" s="43" t="s">
        <v>242</v>
      </c>
      <c r="O23" s="44" t="s">
        <v>242</v>
      </c>
    </row>
    <row r="24" customFormat="false" ht="15" hidden="false" customHeight="true" outlineLevel="2" collapsed="false">
      <c r="A24" s="53"/>
      <c r="B24" s="54" t="s">
        <v>256</v>
      </c>
      <c r="C24" s="55" t="n">
        <f aca="false">IF($L24="Y",0,H24*(1+I24))</f>
        <v>0</v>
      </c>
      <c r="D24" s="55" t="n">
        <f aca="false">IF(J24="Y",C24*Settings!$C$34,0)</f>
        <v>0</v>
      </c>
      <c r="E24" s="55" t="n">
        <f aca="false">C24+D24</f>
        <v>0</v>
      </c>
      <c r="F24" s="56"/>
      <c r="H24" s="49" t="n">
        <v>0</v>
      </c>
      <c r="I24" s="57" t="n">
        <f aca="false">Settings!$C$35</f>
        <v>0.2</v>
      </c>
      <c r="J24" s="43" t="s">
        <v>240</v>
      </c>
      <c r="L24" s="43" t="s">
        <v>242</v>
      </c>
      <c r="M24" s="51" t="n">
        <v>2925</v>
      </c>
      <c r="N24" s="52" t="s">
        <v>243</v>
      </c>
    </row>
    <row r="25" customFormat="false" ht="15" hidden="false" customHeight="true" outlineLevel="2" collapsed="false">
      <c r="A25" s="53"/>
      <c r="B25" s="54" t="s">
        <v>257</v>
      </c>
      <c r="C25" s="55" t="n">
        <f aca="false">IF($L25="Y",0,H25*(1+I25))</f>
        <v>0</v>
      </c>
      <c r="D25" s="55" t="n">
        <f aca="false">IF(J25="Y",C25*Settings!$C$34,0)</f>
        <v>0</v>
      </c>
      <c r="E25" s="55" t="n">
        <f aca="false">C25+D25</f>
        <v>0</v>
      </c>
      <c r="F25" s="56"/>
      <c r="H25" s="49" t="n">
        <v>0</v>
      </c>
      <c r="I25" s="57" t="n">
        <f aca="false">Settings!$C$35</f>
        <v>0.2</v>
      </c>
      <c r="J25" s="43" t="s">
        <v>240</v>
      </c>
      <c r="L25" s="43" t="s">
        <v>242</v>
      </c>
      <c r="M25" s="51" t="n">
        <v>1895.4</v>
      </c>
      <c r="N25" s="52" t="s">
        <v>243</v>
      </c>
    </row>
    <row r="26" customFormat="false" ht="15" hidden="false" customHeight="true" outlineLevel="2" collapsed="false">
      <c r="A26" s="45"/>
      <c r="B26" s="46" t="s">
        <v>258</v>
      </c>
      <c r="C26" s="47" t="n">
        <f aca="false">IF($L26="Y",0,H26*(1+I26))</f>
        <v>0</v>
      </c>
      <c r="D26" s="47" t="n">
        <f aca="false">IF(J26="Y",C26*Settings!$C$34,0)</f>
        <v>0</v>
      </c>
      <c r="E26" s="47" t="n">
        <f aca="false">C26+D26</f>
        <v>0</v>
      </c>
      <c r="F26" s="48"/>
      <c r="H26" s="49" t="n">
        <v>0</v>
      </c>
      <c r="I26" s="57" t="n">
        <f aca="false">Settings!$C$35</f>
        <v>0.2</v>
      </c>
      <c r="J26" s="43" t="s">
        <v>240</v>
      </c>
      <c r="L26" s="43" t="s">
        <v>242</v>
      </c>
      <c r="M26" s="51" t="n">
        <v>5850</v>
      </c>
      <c r="N26" s="52" t="s">
        <v>243</v>
      </c>
    </row>
    <row r="27" customFormat="false" ht="24" hidden="false" customHeight="true" outlineLevel="0" collapsed="false">
      <c r="A27" s="25" t="s">
        <v>99</v>
      </c>
      <c r="B27" s="26" t="s">
        <v>100</v>
      </c>
      <c r="C27" s="26"/>
      <c r="D27" s="26"/>
      <c r="E27" s="26"/>
      <c r="F27" s="39" t="n">
        <f aca="false">F28</f>
        <v>0</v>
      </c>
    </row>
    <row r="28" customFormat="false" ht="18" hidden="false" customHeight="true" outlineLevel="1" collapsed="false">
      <c r="A28" s="40" t="s">
        <v>101</v>
      </c>
      <c r="B28" s="41" t="str">
        <f aca="false">"Footing And Foundation"&amp;IF($K28="Y","   (Allowance)","")</f>
        <v>Footing And Foundation</v>
      </c>
      <c r="C28" s="41"/>
      <c r="D28" s="41"/>
      <c r="E28" s="41"/>
      <c r="F28" s="42" t="n">
        <f aca="false">SUM(E29:E30)</f>
        <v>0</v>
      </c>
      <c r="K28" s="43" t="s">
        <v>242</v>
      </c>
      <c r="O28" s="44" t="s">
        <v>240</v>
      </c>
    </row>
    <row r="29" customFormat="false" ht="15" hidden="false" customHeight="true" outlineLevel="2" collapsed="false">
      <c r="A29" s="53"/>
      <c r="B29" s="54" t="s">
        <v>259</v>
      </c>
      <c r="C29" s="55" t="n">
        <f aca="false">IF($L29="Y",0,H29*(1+I29))</f>
        <v>0</v>
      </c>
      <c r="D29" s="55" t="n">
        <f aca="false">IF(J29="Y",C29*Settings!$C$34,0)</f>
        <v>0</v>
      </c>
      <c r="E29" s="55" t="n">
        <f aca="false">C29+D29</f>
        <v>0</v>
      </c>
      <c r="F29" s="56"/>
      <c r="H29" s="49" t="n">
        <v>0</v>
      </c>
      <c r="I29" s="57" t="n">
        <f aca="false">Settings!$C$35</f>
        <v>0.2</v>
      </c>
      <c r="J29" s="43" t="s">
        <v>240</v>
      </c>
      <c r="L29" s="43" t="s">
        <v>242</v>
      </c>
      <c r="M29" s="51" t="n">
        <f aca="false">CEILING(Settings!$C$20*Settings!$C$21*0.667/27,5)*440</f>
        <v>8800</v>
      </c>
      <c r="N29" s="52" t="s">
        <v>260</v>
      </c>
    </row>
    <row r="30" customFormat="false" ht="15" hidden="false" customHeight="true" outlineLevel="2" collapsed="false">
      <c r="A30" s="45"/>
      <c r="B30" s="46" t="s">
        <v>261</v>
      </c>
      <c r="C30" s="47" t="n">
        <f aca="false">IF($L30="Y",0,H30*(1+I30))</f>
        <v>0</v>
      </c>
      <c r="D30" s="47" t="n">
        <f aca="false">IF(J30="Y",C30*Settings!$C$34,0)</f>
        <v>0</v>
      </c>
      <c r="E30" s="47" t="n">
        <f aca="false">C30+D30</f>
        <v>0</v>
      </c>
      <c r="F30" s="48"/>
      <c r="H30" s="49" t="n">
        <v>0</v>
      </c>
      <c r="I30" s="57" t="n">
        <f aca="false">Settings!$C$35</f>
        <v>0.2</v>
      </c>
      <c r="J30" s="43" t="s">
        <v>240</v>
      </c>
      <c r="L30" s="43" t="s">
        <v>242</v>
      </c>
      <c r="M30" s="51" t="n">
        <v>1872</v>
      </c>
      <c r="N30" s="52" t="s">
        <v>243</v>
      </c>
    </row>
    <row r="31" customFormat="false" ht="24" hidden="false" customHeight="true" outlineLevel="0" collapsed="false">
      <c r="A31" s="25" t="s">
        <v>104</v>
      </c>
      <c r="B31" s="26" t="s">
        <v>105</v>
      </c>
      <c r="C31" s="26"/>
      <c r="D31" s="26"/>
      <c r="E31" s="26"/>
      <c r="F31" s="39" t="n">
        <f aca="false">F32+F38</f>
        <v>0</v>
      </c>
    </row>
    <row r="32" customFormat="false" ht="18" hidden="false" customHeight="true" outlineLevel="1" collapsed="false">
      <c r="A32" s="40" t="s">
        <v>106</v>
      </c>
      <c r="B32" s="41" t="str">
        <f aca="false">"Framing Materials"&amp;IF($K32="Y","   (Allowance)","")</f>
        <v>Framing Materials   (Allowance)</v>
      </c>
      <c r="C32" s="41"/>
      <c r="D32" s="41"/>
      <c r="E32" s="41"/>
      <c r="F32" s="42" t="n">
        <f aca="false">SUM(E33:E37)</f>
        <v>0</v>
      </c>
      <c r="K32" s="43" t="s">
        <v>240</v>
      </c>
      <c r="O32" s="44" t="s">
        <v>240</v>
      </c>
    </row>
    <row r="33" customFormat="false" ht="15" hidden="false" customHeight="true" outlineLevel="2" collapsed="false">
      <c r="A33" s="53"/>
      <c r="B33" s="54" t="s">
        <v>262</v>
      </c>
      <c r="C33" s="55" t="n">
        <f aca="false">IF($L33="Y",0,H33*(1+I33))</f>
        <v>0</v>
      </c>
      <c r="D33" s="55" t="n">
        <f aca="false">IF(J33="Y",C33*Settings!$C$34,0)</f>
        <v>0</v>
      </c>
      <c r="E33" s="55" t="n">
        <f aca="false">C33+D33</f>
        <v>0</v>
      </c>
      <c r="F33" s="56"/>
      <c r="H33" s="49" t="n">
        <v>0</v>
      </c>
      <c r="I33" s="57" t="n">
        <f aca="false">Settings!$C$35</f>
        <v>0.2</v>
      </c>
      <c r="J33" s="43" t="s">
        <v>240</v>
      </c>
      <c r="L33" s="43" t="s">
        <v>242</v>
      </c>
      <c r="M33" s="51" t="n">
        <f aca="false">'Material Estimate'!$H$19</f>
        <v>9200.897625</v>
      </c>
      <c r="N33" s="58" t="s">
        <v>263</v>
      </c>
    </row>
    <row r="34" customFormat="false" ht="15" hidden="false" customHeight="true" outlineLevel="2" collapsed="false">
      <c r="A34" s="53"/>
      <c r="B34" s="54" t="s">
        <v>264</v>
      </c>
      <c r="C34" s="55" t="n">
        <f aca="false">IF($L34="Y",0,H34*(1+I34))</f>
        <v>0</v>
      </c>
      <c r="D34" s="55" t="n">
        <f aca="false">IF(J34="Y",C34*Settings!$C$34,0)</f>
        <v>0</v>
      </c>
      <c r="E34" s="55" t="n">
        <f aca="false">C34+D34</f>
        <v>0</v>
      </c>
      <c r="F34" s="56"/>
      <c r="H34" s="49" t="n">
        <v>0</v>
      </c>
      <c r="I34" s="57" t="n">
        <f aca="false">Settings!$C$35</f>
        <v>0.2</v>
      </c>
      <c r="J34" s="43" t="s">
        <v>240</v>
      </c>
      <c r="L34" s="43" t="s">
        <v>242</v>
      </c>
      <c r="M34" s="51" t="n">
        <f aca="false">'Material Estimate'!$H$29</f>
        <v>3705.66526255</v>
      </c>
      <c r="N34" s="58" t="s">
        <v>265</v>
      </c>
    </row>
    <row r="35" customFormat="false" ht="15" hidden="false" customHeight="true" outlineLevel="2" collapsed="false">
      <c r="A35" s="53"/>
      <c r="B35" s="54" t="s">
        <v>266</v>
      </c>
      <c r="C35" s="55" t="n">
        <f aca="false">IF($L35="Y",0,H35*(1+I35))</f>
        <v>0</v>
      </c>
      <c r="D35" s="55" t="n">
        <f aca="false">IF(J35="Y",C35*Settings!$C$34,0)</f>
        <v>0</v>
      </c>
      <c r="E35" s="55" t="n">
        <f aca="false">C35+D35</f>
        <v>0</v>
      </c>
      <c r="F35" s="56"/>
      <c r="H35" s="49" t="n">
        <v>0</v>
      </c>
      <c r="I35" s="57" t="n">
        <f aca="false">Settings!$C$35</f>
        <v>0.2</v>
      </c>
      <c r="J35" s="43" t="s">
        <v>240</v>
      </c>
      <c r="L35" s="43" t="s">
        <v>242</v>
      </c>
      <c r="M35" s="51" t="n">
        <f aca="false">'Material Estimate'!$H$40</f>
        <v>4054.0079309366</v>
      </c>
      <c r="N35" s="58" t="s">
        <v>267</v>
      </c>
    </row>
    <row r="36" customFormat="false" ht="15" hidden="false" customHeight="true" outlineLevel="2" collapsed="false">
      <c r="A36" s="53"/>
      <c r="B36" s="54" t="s">
        <v>268</v>
      </c>
      <c r="C36" s="55" t="n">
        <f aca="false">IF($L36="Y",0,H36*(1+I36))</f>
        <v>0</v>
      </c>
      <c r="D36" s="55" t="n">
        <f aca="false">IF(J36="Y",C36*Settings!$C$34,0)</f>
        <v>0</v>
      </c>
      <c r="E36" s="55" t="n">
        <f aca="false">C36+D36</f>
        <v>0</v>
      </c>
      <c r="F36" s="56"/>
      <c r="H36" s="49" t="n">
        <v>0</v>
      </c>
      <c r="I36" s="57" t="n">
        <f aca="false">Settings!$C$35</f>
        <v>0.2</v>
      </c>
      <c r="J36" s="43" t="s">
        <v>240</v>
      </c>
      <c r="L36" s="43" t="s">
        <v>242</v>
      </c>
      <c r="M36" s="51" t="n">
        <v>7020</v>
      </c>
      <c r="N36" s="52" t="s">
        <v>243</v>
      </c>
    </row>
    <row r="37" customFormat="false" ht="15" hidden="false" customHeight="true" outlineLevel="2" collapsed="false">
      <c r="A37" s="45"/>
      <c r="B37" s="46" t="s">
        <v>269</v>
      </c>
      <c r="C37" s="47" t="n">
        <f aca="false">IF($L37="Y",0,H37*(1+I37))</f>
        <v>0</v>
      </c>
      <c r="D37" s="47" t="n">
        <f aca="false">IF(J37="Y",C37*Settings!$C$34,0)</f>
        <v>0</v>
      </c>
      <c r="E37" s="47" t="n">
        <f aca="false">C37+D37</f>
        <v>0</v>
      </c>
      <c r="F37" s="48"/>
      <c r="H37" s="49" t="n">
        <v>0</v>
      </c>
      <c r="I37" s="57" t="n">
        <f aca="false">Settings!$C$35</f>
        <v>0.2</v>
      </c>
      <c r="J37" s="43" t="s">
        <v>240</v>
      </c>
      <c r="L37" s="43" t="s">
        <v>242</v>
      </c>
      <c r="M37" s="51" t="n">
        <v>1404</v>
      </c>
      <c r="N37" s="52" t="s">
        <v>243</v>
      </c>
    </row>
    <row r="38" customFormat="false" ht="18" hidden="false" customHeight="true" outlineLevel="1" collapsed="false">
      <c r="A38" s="40" t="s">
        <v>109</v>
      </c>
      <c r="B38" s="41" t="str">
        <f aca="false">"Framing Labor"&amp;IF($K38="Y","   (Allowance)","")</f>
        <v>Framing Labor</v>
      </c>
      <c r="C38" s="41"/>
      <c r="D38" s="41"/>
      <c r="E38" s="41"/>
      <c r="F38" s="42" t="n">
        <f aca="false">SUM(E39:E40)</f>
        <v>0</v>
      </c>
      <c r="K38" s="43" t="s">
        <v>242</v>
      </c>
      <c r="O38" s="44" t="s">
        <v>240</v>
      </c>
    </row>
    <row r="39" customFormat="false" ht="15" hidden="false" customHeight="true" outlineLevel="2" collapsed="false">
      <c r="A39" s="53"/>
      <c r="B39" s="54" t="s">
        <v>270</v>
      </c>
      <c r="C39" s="55" t="n">
        <f aca="false">IF($L39="Y",0,H39*(1+I39))</f>
        <v>0</v>
      </c>
      <c r="D39" s="55" t="n">
        <f aca="false">IF(J39="Y",C39*Settings!$C$34,0)</f>
        <v>0</v>
      </c>
      <c r="E39" s="55" t="n">
        <f aca="false">C39+D39</f>
        <v>0</v>
      </c>
      <c r="F39" s="56"/>
      <c r="H39" s="49" t="n">
        <v>0</v>
      </c>
      <c r="I39" s="57" t="n">
        <f aca="false">Settings!$C$35</f>
        <v>0.2</v>
      </c>
      <c r="J39" s="43" t="s">
        <v>240</v>
      </c>
      <c r="L39" s="43" t="s">
        <v>242</v>
      </c>
      <c r="M39" s="51" t="n">
        <f aca="false">Settings!$C$13*12</f>
        <v>21600</v>
      </c>
      <c r="N39" s="52" t="s">
        <v>271</v>
      </c>
    </row>
    <row r="40" customFormat="false" ht="15" hidden="false" customHeight="true" outlineLevel="2" collapsed="false">
      <c r="A40" s="45"/>
      <c r="B40" s="46" t="s">
        <v>272</v>
      </c>
      <c r="C40" s="47" t="n">
        <f aca="false">IF($L40="Y",0,H40*(1+I40))</f>
        <v>0</v>
      </c>
      <c r="D40" s="47" t="n">
        <f aca="false">IF(J40="Y",C40*Settings!$C$34,0)</f>
        <v>0</v>
      </c>
      <c r="E40" s="47" t="n">
        <f aca="false">C40+D40</f>
        <v>0</v>
      </c>
      <c r="F40" s="48"/>
      <c r="H40" s="49" t="n">
        <v>0</v>
      </c>
      <c r="I40" s="57" t="n">
        <f aca="false">Settings!$C$35</f>
        <v>0.2</v>
      </c>
      <c r="J40" s="43" t="s">
        <v>240</v>
      </c>
      <c r="L40" s="43" t="s">
        <v>242</v>
      </c>
      <c r="M40" s="51" t="n">
        <f aca="false">(Settings!$C$14+Settings!$C$15)*9</f>
        <v>4680</v>
      </c>
      <c r="N40" s="52" t="s">
        <v>273</v>
      </c>
    </row>
    <row r="41" customFormat="false" ht="24" hidden="false" customHeight="true" outlineLevel="0" collapsed="false">
      <c r="A41" s="25" t="s">
        <v>112</v>
      </c>
      <c r="B41" s="26" t="s">
        <v>113</v>
      </c>
      <c r="C41" s="26"/>
      <c r="D41" s="26"/>
      <c r="E41" s="26"/>
      <c r="F41" s="39" t="n">
        <f aca="false">F42+F44+F46+F49</f>
        <v>0</v>
      </c>
    </row>
    <row r="42" customFormat="false" ht="18" hidden="false" customHeight="true" outlineLevel="1" collapsed="false">
      <c r="A42" s="40" t="s">
        <v>114</v>
      </c>
      <c r="B42" s="41" t="str">
        <f aca="false">"Front Door"&amp;IF($K42="Y","   (Allowance)","")</f>
        <v>Front Door   (Allowance)</v>
      </c>
      <c r="C42" s="41"/>
      <c r="D42" s="41"/>
      <c r="E42" s="41"/>
      <c r="F42" s="42" t="n">
        <f aca="false">SUM(E43)</f>
        <v>0</v>
      </c>
      <c r="K42" s="43" t="s">
        <v>240</v>
      </c>
      <c r="O42" s="44" t="s">
        <v>240</v>
      </c>
    </row>
    <row r="43" customFormat="false" ht="15" hidden="false" customHeight="true" outlineLevel="2" collapsed="false">
      <c r="A43" s="45"/>
      <c r="B43" s="46" t="s">
        <v>274</v>
      </c>
      <c r="C43" s="47" t="n">
        <f aca="false">IF($L43="Y",0,H43*(1+I43))</f>
        <v>0</v>
      </c>
      <c r="D43" s="47" t="n">
        <f aca="false">IF(J43="Y",C43*Settings!$C$34,0)</f>
        <v>0</v>
      </c>
      <c r="E43" s="47" t="n">
        <f aca="false">C43+D43</f>
        <v>0</v>
      </c>
      <c r="F43" s="48"/>
      <c r="H43" s="49" t="n">
        <v>0</v>
      </c>
      <c r="I43" s="57" t="n">
        <f aca="false">Settings!$C$35</f>
        <v>0.2</v>
      </c>
      <c r="J43" s="43" t="s">
        <v>240</v>
      </c>
      <c r="L43" s="43" t="s">
        <v>242</v>
      </c>
      <c r="M43" s="51" t="n">
        <v>5265</v>
      </c>
      <c r="N43" s="52" t="s">
        <v>243</v>
      </c>
    </row>
    <row r="44" customFormat="false" ht="18" hidden="false" customHeight="true" outlineLevel="1" collapsed="false">
      <c r="A44" s="40" t="s">
        <v>117</v>
      </c>
      <c r="B44" s="41" t="str">
        <f aca="false">"Other exterior doors"&amp;IF($K44="Y","   (Allowance)","")</f>
        <v>Other exterior doors</v>
      </c>
      <c r="C44" s="41"/>
      <c r="D44" s="41"/>
      <c r="E44" s="41"/>
      <c r="F44" s="42" t="n">
        <f aca="false">SUM(E45)</f>
        <v>0</v>
      </c>
      <c r="K44" s="43" t="s">
        <v>242</v>
      </c>
      <c r="O44" s="44" t="s">
        <v>240</v>
      </c>
    </row>
    <row r="45" customFormat="false" ht="15" hidden="false" customHeight="true" outlineLevel="2" collapsed="false">
      <c r="A45" s="45"/>
      <c r="B45" s="46" t="s">
        <v>275</v>
      </c>
      <c r="C45" s="47" t="n">
        <f aca="false">IF($L45="Y",0,H45*(1+I45))</f>
        <v>0</v>
      </c>
      <c r="D45" s="47" t="n">
        <f aca="false">IF(J45="Y",C45*Settings!$C$34,0)</f>
        <v>0</v>
      </c>
      <c r="E45" s="47" t="n">
        <f aca="false">C45+D45</f>
        <v>0</v>
      </c>
      <c r="F45" s="48"/>
      <c r="H45" s="49" t="n">
        <v>0</v>
      </c>
      <c r="I45" s="57" t="n">
        <f aca="false">Settings!$C$35</f>
        <v>0.2</v>
      </c>
      <c r="J45" s="43" t="s">
        <v>240</v>
      </c>
      <c r="L45" s="43" t="s">
        <v>242</v>
      </c>
      <c r="M45" s="51" t="n">
        <f aca="false">Settings!$C$28*650</f>
        <v>1950</v>
      </c>
      <c r="N45" s="52" t="s">
        <v>276</v>
      </c>
    </row>
    <row r="46" customFormat="false" ht="18" hidden="false" customHeight="true" outlineLevel="1" collapsed="false">
      <c r="A46" s="40" t="s">
        <v>120</v>
      </c>
      <c r="B46" s="41" t="str">
        <f aca="false">"Garage Doors"&amp;IF($K46="Y","   (Allowance)","")</f>
        <v>Garage Doors</v>
      </c>
      <c r="C46" s="41"/>
      <c r="D46" s="41"/>
      <c r="E46" s="41"/>
      <c r="F46" s="42" t="n">
        <f aca="false">SUM(E47:E48)</f>
        <v>0</v>
      </c>
      <c r="K46" s="43" t="s">
        <v>242</v>
      </c>
      <c r="O46" s="44" t="s">
        <v>240</v>
      </c>
    </row>
    <row r="47" customFormat="false" ht="15" hidden="false" customHeight="true" outlineLevel="2" collapsed="false">
      <c r="A47" s="53"/>
      <c r="B47" s="54" t="s">
        <v>277</v>
      </c>
      <c r="C47" s="55" t="n">
        <f aca="false">IF($L47="Y",0,H47*(1+I47))</f>
        <v>0</v>
      </c>
      <c r="D47" s="55" t="n">
        <f aca="false">IF(J47="Y",C47*Settings!$C$34,0)</f>
        <v>0</v>
      </c>
      <c r="E47" s="55" t="n">
        <f aca="false">C47+D47</f>
        <v>0</v>
      </c>
      <c r="F47" s="56"/>
      <c r="H47" s="49" t="n">
        <v>0</v>
      </c>
      <c r="I47" s="57" t="n">
        <f aca="false">Settings!$C$35</f>
        <v>0.2</v>
      </c>
      <c r="J47" s="43" t="s">
        <v>240</v>
      </c>
      <c r="L47" s="43" t="s">
        <v>242</v>
      </c>
      <c r="M47" s="51" t="n">
        <f aca="false">Settings!$C$30*1500</f>
        <v>1500</v>
      </c>
      <c r="N47" s="52" t="s">
        <v>278</v>
      </c>
    </row>
    <row r="48" customFormat="false" ht="15" hidden="false" customHeight="true" outlineLevel="2" collapsed="false">
      <c r="A48" s="45"/>
      <c r="B48" s="46" t="s">
        <v>279</v>
      </c>
      <c r="C48" s="47" t="n">
        <f aca="false">IF($L48="Y",0,H48*(1+I48))</f>
        <v>0</v>
      </c>
      <c r="D48" s="47" t="n">
        <f aca="false">IF(J48="Y",C48*Settings!$C$34,0)</f>
        <v>0</v>
      </c>
      <c r="E48" s="47" t="n">
        <f aca="false">C48+D48</f>
        <v>0</v>
      </c>
      <c r="F48" s="48"/>
      <c r="H48" s="49" t="n">
        <v>0</v>
      </c>
      <c r="I48" s="57" t="n">
        <f aca="false">Settings!$C$35</f>
        <v>0.2</v>
      </c>
      <c r="J48" s="43" t="s">
        <v>240</v>
      </c>
      <c r="L48" s="43" t="s">
        <v>242</v>
      </c>
      <c r="M48" s="51" t="n">
        <f aca="false">Settings!$C$30*450</f>
        <v>450</v>
      </c>
      <c r="N48" s="52" t="s">
        <v>280</v>
      </c>
    </row>
    <row r="49" customFormat="false" ht="18" hidden="false" customHeight="true" outlineLevel="1" collapsed="false">
      <c r="A49" s="40" t="s">
        <v>123</v>
      </c>
      <c r="B49" s="41" t="str">
        <f aca="false">"Windows"&amp;IF($K49="Y","   (Allowance)","")</f>
        <v>Windows   (Allowance)</v>
      </c>
      <c r="C49" s="41"/>
      <c r="D49" s="41"/>
      <c r="E49" s="41"/>
      <c r="F49" s="42" t="n">
        <f aca="false">SUM(E50:E51)</f>
        <v>0</v>
      </c>
      <c r="K49" s="43" t="s">
        <v>240</v>
      </c>
      <c r="O49" s="44" t="s">
        <v>240</v>
      </c>
    </row>
    <row r="50" customFormat="false" ht="15" hidden="false" customHeight="true" outlineLevel="2" collapsed="false">
      <c r="A50" s="53"/>
      <c r="B50" s="54" t="s">
        <v>281</v>
      </c>
      <c r="C50" s="55" t="n">
        <f aca="false">IF($L50="Y",0,H50*(1+I50))</f>
        <v>0</v>
      </c>
      <c r="D50" s="55" t="n">
        <f aca="false">IF(J50="Y",C50*Settings!$C$34,0)</f>
        <v>0</v>
      </c>
      <c r="E50" s="55" t="n">
        <f aca="false">C50+D50</f>
        <v>0</v>
      </c>
      <c r="F50" s="56"/>
      <c r="H50" s="49" t="n">
        <v>0</v>
      </c>
      <c r="I50" s="57" t="n">
        <f aca="false">Settings!$C$35</f>
        <v>0.2</v>
      </c>
      <c r="J50" s="43" t="s">
        <v>240</v>
      </c>
      <c r="L50" s="43" t="s">
        <v>242</v>
      </c>
      <c r="M50" s="51" t="n">
        <f aca="false">Settings!$C$27*380</f>
        <v>6840</v>
      </c>
      <c r="N50" s="52" t="s">
        <v>282</v>
      </c>
    </row>
    <row r="51" customFormat="false" ht="15" hidden="false" customHeight="true" outlineLevel="2" collapsed="false">
      <c r="A51" s="45"/>
      <c r="B51" s="46" t="s">
        <v>283</v>
      </c>
      <c r="C51" s="47" t="n">
        <f aca="false">IF($L51="Y",0,H51*(1+I51))</f>
        <v>0</v>
      </c>
      <c r="D51" s="47" t="n">
        <f aca="false">IF(J51="Y",C51*Settings!$C$34,0)</f>
        <v>0</v>
      </c>
      <c r="E51" s="47" t="n">
        <f aca="false">C51+D51</f>
        <v>0</v>
      </c>
      <c r="F51" s="48"/>
      <c r="H51" s="49" t="n">
        <v>0</v>
      </c>
      <c r="I51" s="57" t="n">
        <f aca="false">Settings!$C$35</f>
        <v>0.2</v>
      </c>
      <c r="J51" s="43" t="s">
        <v>240</v>
      </c>
      <c r="L51" s="43" t="s">
        <v>242</v>
      </c>
      <c r="M51" s="51" t="n">
        <f aca="false">Settings!$C$29*2200</f>
        <v>2200</v>
      </c>
      <c r="N51" s="52" t="s">
        <v>284</v>
      </c>
    </row>
    <row r="52" customFormat="false" ht="24" hidden="false" customHeight="true" outlineLevel="0" collapsed="false">
      <c r="A52" s="25" t="s">
        <v>126</v>
      </c>
      <c r="B52" s="26" t="s">
        <v>127</v>
      </c>
      <c r="C52" s="26"/>
      <c r="D52" s="26"/>
      <c r="E52" s="26"/>
      <c r="F52" s="39" t="n">
        <f aca="false">F53+F55+F59+F62+F64+F66+F68</f>
        <v>0</v>
      </c>
    </row>
    <row r="53" customFormat="false" ht="18" hidden="false" customHeight="true" outlineLevel="1" collapsed="false">
      <c r="A53" s="40" t="s">
        <v>128</v>
      </c>
      <c r="B53" s="41" t="str">
        <f aca="false">"Siding Materials"&amp;IF($K53="Y","   (Allowance)","")</f>
        <v>Siding Materials</v>
      </c>
      <c r="C53" s="41"/>
      <c r="D53" s="41"/>
      <c r="E53" s="41"/>
      <c r="F53" s="42" t="n">
        <f aca="false">SUM(E54)</f>
        <v>0</v>
      </c>
      <c r="K53" s="43" t="s">
        <v>242</v>
      </c>
      <c r="O53" s="44" t="s">
        <v>240</v>
      </c>
    </row>
    <row r="54" customFormat="false" ht="15" hidden="false" customHeight="true" outlineLevel="2" collapsed="false">
      <c r="A54" s="45"/>
      <c r="B54" s="46" t="s">
        <v>285</v>
      </c>
      <c r="C54" s="47" t="n">
        <f aca="false">IF($L54="Y",0,H54*(1+I54))</f>
        <v>0</v>
      </c>
      <c r="D54" s="47" t="n">
        <f aca="false">IF(J54="Y",C54*Settings!$C$34,0)</f>
        <v>0</v>
      </c>
      <c r="E54" s="47" t="n">
        <f aca="false">C54+D54</f>
        <v>0</v>
      </c>
      <c r="F54" s="48"/>
      <c r="H54" s="49" t="n">
        <v>0</v>
      </c>
      <c r="I54" s="57" t="n">
        <f aca="false">Settings!$C$35</f>
        <v>0.2</v>
      </c>
      <c r="J54" s="43" t="s">
        <v>240</v>
      </c>
      <c r="L54" s="43" t="s">
        <v>242</v>
      </c>
      <c r="M54" s="51" t="n">
        <f aca="false">'Material Estimate'!$H$57+Settings!$C$32*5.5</f>
        <v>5341.4517844895</v>
      </c>
      <c r="N54" s="58" t="s">
        <v>286</v>
      </c>
    </row>
    <row r="55" customFormat="false" ht="18" hidden="false" customHeight="true" outlineLevel="1" collapsed="false">
      <c r="A55" s="40" t="s">
        <v>131</v>
      </c>
      <c r="B55" s="41" t="str">
        <f aca="false">"Siding Labor"&amp;IF($K55="Y","   (Allowance)","")</f>
        <v>Siding Labor</v>
      </c>
      <c r="C55" s="41"/>
      <c r="D55" s="41"/>
      <c r="E55" s="41"/>
      <c r="F55" s="42" t="n">
        <f aca="false">SUM(E56:E58)</f>
        <v>0</v>
      </c>
      <c r="K55" s="43" t="s">
        <v>242</v>
      </c>
      <c r="O55" s="44" t="s">
        <v>240</v>
      </c>
    </row>
    <row r="56" customFormat="false" ht="15" hidden="false" customHeight="true" outlineLevel="2" collapsed="false">
      <c r="A56" s="53"/>
      <c r="B56" s="54" t="s">
        <v>287</v>
      </c>
      <c r="C56" s="55" t="n">
        <f aca="false">IF($L56="Y",0,H56*(1+I56))</f>
        <v>0</v>
      </c>
      <c r="D56" s="55" t="n">
        <f aca="false">IF(J56="Y",C56*Settings!$C$34,0)</f>
        <v>0</v>
      </c>
      <c r="E56" s="55" t="n">
        <f aca="false">C56+D56</f>
        <v>0</v>
      </c>
      <c r="F56" s="56"/>
      <c r="H56" s="49" t="n">
        <v>0</v>
      </c>
      <c r="I56" s="57" t="n">
        <f aca="false">Settings!$C$35</f>
        <v>0.2</v>
      </c>
      <c r="J56" s="43" t="s">
        <v>240</v>
      </c>
      <c r="L56" s="43" t="s">
        <v>242</v>
      </c>
      <c r="M56" s="51" t="n">
        <f aca="false">(Settings!$C$23+Settings!$C$32)*4</f>
        <v>6840</v>
      </c>
      <c r="N56" s="52" t="s">
        <v>288</v>
      </c>
    </row>
    <row r="57" customFormat="false" ht="15" hidden="false" customHeight="true" outlineLevel="2" collapsed="false">
      <c r="A57" s="53"/>
      <c r="B57" s="54" t="s">
        <v>289</v>
      </c>
      <c r="C57" s="55" t="n">
        <f aca="false">IF($L57="Y",0,H57*(1+I57))</f>
        <v>0</v>
      </c>
      <c r="D57" s="55" t="n">
        <f aca="false">IF(J57="Y",C57*Settings!$C$34,0)</f>
        <v>0</v>
      </c>
      <c r="E57" s="55" t="n">
        <f aca="false">C57+D57</f>
        <v>0</v>
      </c>
      <c r="F57" s="56"/>
      <c r="H57" s="49" t="n">
        <v>0</v>
      </c>
      <c r="I57" s="57" t="n">
        <f aca="false">Settings!$C$35</f>
        <v>0.2</v>
      </c>
      <c r="J57" s="43" t="s">
        <v>240</v>
      </c>
      <c r="L57" s="43" t="s">
        <v>242</v>
      </c>
      <c r="M57" s="51" t="n">
        <v>2808</v>
      </c>
      <c r="N57" s="52" t="s">
        <v>243</v>
      </c>
    </row>
    <row r="58" customFormat="false" ht="15" hidden="false" customHeight="true" outlineLevel="2" collapsed="false">
      <c r="A58" s="45"/>
      <c r="B58" s="46" t="s">
        <v>290</v>
      </c>
      <c r="C58" s="47" t="n">
        <f aca="false">IF($L58="Y",0,H58*(1+I58))</f>
        <v>0</v>
      </c>
      <c r="D58" s="47" t="n">
        <f aca="false">IF(J58="Y",C58*Settings!$C$34,0)</f>
        <v>0</v>
      </c>
      <c r="E58" s="47" t="n">
        <f aca="false">C58+D58</f>
        <v>0</v>
      </c>
      <c r="F58" s="48"/>
      <c r="H58" s="49" t="n">
        <v>0</v>
      </c>
      <c r="I58" s="57" t="n">
        <f aca="false">Settings!$C$35</f>
        <v>0.2</v>
      </c>
      <c r="J58" s="43" t="s">
        <v>240</v>
      </c>
      <c r="L58" s="43" t="s">
        <v>242</v>
      </c>
      <c r="M58" s="51" t="n">
        <v>1404</v>
      </c>
      <c r="N58" s="52" t="s">
        <v>243</v>
      </c>
    </row>
    <row r="59" customFormat="false" ht="18" hidden="false" customHeight="true" outlineLevel="1" collapsed="false">
      <c r="A59" s="40" t="s">
        <v>134</v>
      </c>
      <c r="B59" s="41" t="str">
        <f aca="false">"Roofing Specifications"&amp;IF($K59="Y","   (Allowance)","")</f>
        <v>Roofing Specifications   (Allowance)</v>
      </c>
      <c r="C59" s="41"/>
      <c r="D59" s="41"/>
      <c r="E59" s="41"/>
      <c r="F59" s="42" t="n">
        <f aca="false">SUM(E60:E61)</f>
        <v>0</v>
      </c>
      <c r="K59" s="43" t="s">
        <v>240</v>
      </c>
      <c r="O59" s="44" t="s">
        <v>240</v>
      </c>
    </row>
    <row r="60" customFormat="false" ht="15" hidden="false" customHeight="true" outlineLevel="2" collapsed="false">
      <c r="A60" s="53"/>
      <c r="B60" s="54" t="s">
        <v>291</v>
      </c>
      <c r="C60" s="55" t="n">
        <f aca="false">IF($L60="Y",0,H60*(1+I60))</f>
        <v>0</v>
      </c>
      <c r="D60" s="55" t="n">
        <f aca="false">IF(J60="Y",C60*Settings!$C$34,0)</f>
        <v>0</v>
      </c>
      <c r="E60" s="55" t="n">
        <f aca="false">C60+D60</f>
        <v>0</v>
      </c>
      <c r="F60" s="56"/>
      <c r="H60" s="49" t="n">
        <v>0</v>
      </c>
      <c r="I60" s="57" t="n">
        <f aca="false">Settings!$C$35</f>
        <v>0.2</v>
      </c>
      <c r="J60" s="43" t="s">
        <v>240</v>
      </c>
      <c r="L60" s="43" t="s">
        <v>242</v>
      </c>
      <c r="M60" s="51" t="n">
        <f aca="false">(Settings!$C$13+Settings!$C$14+Settings!$C$15)*1.4/100*425</f>
        <v>13804</v>
      </c>
      <c r="N60" s="52" t="s">
        <v>292</v>
      </c>
    </row>
    <row r="61" customFormat="false" ht="15" hidden="false" customHeight="true" outlineLevel="2" collapsed="false">
      <c r="A61" s="45"/>
      <c r="B61" s="46" t="s">
        <v>293</v>
      </c>
      <c r="C61" s="47" t="n">
        <f aca="false">IF($L61="Y",0,H61*(1+I61))</f>
        <v>0</v>
      </c>
      <c r="D61" s="47" t="n">
        <f aca="false">IF(J61="Y",C61*Settings!$C$34,0)</f>
        <v>0</v>
      </c>
      <c r="E61" s="47" t="n">
        <f aca="false">C61+D61</f>
        <v>0</v>
      </c>
      <c r="F61" s="48"/>
      <c r="H61" s="49" t="n">
        <v>0</v>
      </c>
      <c r="I61" s="57" t="n">
        <f aca="false">Settings!$C$35</f>
        <v>0.2</v>
      </c>
      <c r="J61" s="43" t="s">
        <v>240</v>
      </c>
      <c r="L61" s="43" t="s">
        <v>242</v>
      </c>
      <c r="M61" s="51" t="n">
        <f aca="false">(Settings!$C$13+Settings!$C$14+Settings!$C$15)*1.4/100*250</f>
        <v>8120</v>
      </c>
      <c r="N61" s="52" t="s">
        <v>294</v>
      </c>
    </row>
    <row r="62" customFormat="false" ht="18" hidden="false" customHeight="true" outlineLevel="1" collapsed="false">
      <c r="A62" s="40" t="s">
        <v>137</v>
      </c>
      <c r="B62" s="41" t="str">
        <f aca="false">"Gutters"&amp;IF($K62="Y","   (Allowance)","")</f>
        <v>Gutters</v>
      </c>
      <c r="C62" s="41"/>
      <c r="D62" s="41"/>
      <c r="E62" s="41"/>
      <c r="F62" s="42" t="n">
        <f aca="false">SUM(E63)</f>
        <v>0</v>
      </c>
      <c r="K62" s="43" t="s">
        <v>242</v>
      </c>
      <c r="O62" s="44" t="s">
        <v>240</v>
      </c>
    </row>
    <row r="63" customFormat="false" ht="15" hidden="false" customHeight="true" outlineLevel="2" collapsed="false">
      <c r="A63" s="45"/>
      <c r="B63" s="46" t="s">
        <v>138</v>
      </c>
      <c r="C63" s="47" t="n">
        <f aca="false">IF($L63="Y",0,H63*(1+I63))</f>
        <v>0</v>
      </c>
      <c r="D63" s="47" t="n">
        <f aca="false">IF(J63="Y",C63*Settings!$C$34,0)</f>
        <v>0</v>
      </c>
      <c r="E63" s="47" t="n">
        <f aca="false">C63+D63</f>
        <v>0</v>
      </c>
      <c r="F63" s="48"/>
      <c r="H63" s="49" t="n">
        <v>0</v>
      </c>
      <c r="I63" s="57" t="n">
        <f aca="false">Settings!$C$35</f>
        <v>0.2</v>
      </c>
      <c r="J63" s="43" t="s">
        <v>240</v>
      </c>
      <c r="L63" s="43" t="s">
        <v>242</v>
      </c>
      <c r="M63" s="51" t="n">
        <f aca="false">Settings!$C$20*6</f>
        <v>1140</v>
      </c>
      <c r="N63" s="52" t="s">
        <v>295</v>
      </c>
    </row>
    <row r="64" customFormat="false" ht="18" hidden="false" customHeight="true" outlineLevel="1" collapsed="false">
      <c r="A64" s="40" t="s">
        <v>140</v>
      </c>
      <c r="B64" s="41" t="str">
        <f aca="false">"Exterior Masonry"&amp;IF($K64="Y","   (Allowance)","")</f>
        <v>Exterior Masonry</v>
      </c>
      <c r="C64" s="41"/>
      <c r="D64" s="41"/>
      <c r="E64" s="41"/>
      <c r="F64" s="42" t="n">
        <f aca="false">SUM(E65)</f>
        <v>0</v>
      </c>
      <c r="K64" s="43" t="s">
        <v>242</v>
      </c>
      <c r="O64" s="44" t="s">
        <v>242</v>
      </c>
    </row>
    <row r="65" customFormat="false" ht="15" hidden="false" customHeight="true" outlineLevel="2" collapsed="false">
      <c r="A65" s="45"/>
      <c r="B65" s="46" t="s">
        <v>296</v>
      </c>
      <c r="C65" s="47" t="n">
        <f aca="false">IF($L65="Y",0,H65*(1+I65))</f>
        <v>0</v>
      </c>
      <c r="D65" s="47" t="n">
        <f aca="false">IF(J65="Y",C65*Settings!$C$34,0)</f>
        <v>0</v>
      </c>
      <c r="E65" s="47" t="n">
        <f aca="false">C65+D65</f>
        <v>0</v>
      </c>
      <c r="F65" s="48"/>
      <c r="H65" s="49" t="n">
        <v>0</v>
      </c>
      <c r="I65" s="57" t="n">
        <f aca="false">Settings!$C$35</f>
        <v>0.2</v>
      </c>
      <c r="J65" s="43" t="s">
        <v>240</v>
      </c>
      <c r="L65" s="43" t="s">
        <v>242</v>
      </c>
      <c r="M65" s="51" t="n">
        <v>0</v>
      </c>
      <c r="N65" s="52" t="s">
        <v>255</v>
      </c>
    </row>
    <row r="66" customFormat="false" ht="18" hidden="false" customHeight="true" outlineLevel="1" collapsed="false">
      <c r="A66" s="40" t="s">
        <v>143</v>
      </c>
      <c r="B66" s="41" t="str">
        <f aca="false">"Exterior Painting"&amp;IF($K66="Y","   (Allowance)","")</f>
        <v>Exterior Painting</v>
      </c>
      <c r="C66" s="41"/>
      <c r="D66" s="41"/>
      <c r="E66" s="41"/>
      <c r="F66" s="42" t="n">
        <f aca="false">SUM(E67)</f>
        <v>0</v>
      </c>
      <c r="K66" s="43" t="s">
        <v>242</v>
      </c>
      <c r="O66" s="44" t="s">
        <v>240</v>
      </c>
    </row>
    <row r="67" customFormat="false" ht="15" hidden="false" customHeight="true" outlineLevel="2" collapsed="false">
      <c r="A67" s="45"/>
      <c r="B67" s="46" t="s">
        <v>297</v>
      </c>
      <c r="C67" s="47" t="n">
        <f aca="false">IF($L67="Y",0,H67*(1+I67))</f>
        <v>0</v>
      </c>
      <c r="D67" s="47" t="n">
        <f aca="false">IF(J67="Y",C67*Settings!$C$34,0)</f>
        <v>0</v>
      </c>
      <c r="E67" s="47" t="n">
        <f aca="false">C67+D67</f>
        <v>0</v>
      </c>
      <c r="F67" s="48"/>
      <c r="H67" s="49" t="n">
        <v>0</v>
      </c>
      <c r="I67" s="57" t="n">
        <f aca="false">Settings!$C$35</f>
        <v>0.2</v>
      </c>
      <c r="J67" s="43" t="s">
        <v>240</v>
      </c>
      <c r="L67" s="43" t="s">
        <v>242</v>
      </c>
      <c r="M67" s="51" t="n">
        <f aca="false">(Settings!$C$23+Settings!$C$32)*1.6</f>
        <v>2736</v>
      </c>
      <c r="N67" s="52" t="s">
        <v>298</v>
      </c>
    </row>
    <row r="68" customFormat="false" ht="18" hidden="false" customHeight="true" outlineLevel="1" collapsed="false">
      <c r="A68" s="40" t="s">
        <v>146</v>
      </c>
      <c r="B68" s="41" t="str">
        <f aca="false">"Concrete Flatwork"&amp;IF($K68="Y","   (Allowance)","")</f>
        <v>Concrete Flatwork   (Allowance)</v>
      </c>
      <c r="C68" s="41"/>
      <c r="D68" s="41"/>
      <c r="E68" s="41"/>
      <c r="F68" s="42" t="n">
        <f aca="false">SUM(E69:E71)</f>
        <v>0</v>
      </c>
      <c r="K68" s="43" t="s">
        <v>240</v>
      </c>
      <c r="O68" s="44" t="s">
        <v>240</v>
      </c>
    </row>
    <row r="69" customFormat="false" ht="15" hidden="false" customHeight="true" outlineLevel="2" collapsed="false">
      <c r="A69" s="53"/>
      <c r="B69" s="54" t="s">
        <v>299</v>
      </c>
      <c r="C69" s="55" t="n">
        <f aca="false">IF($L69="Y",0,H69*(1+I69))</f>
        <v>0</v>
      </c>
      <c r="D69" s="55" t="n">
        <f aca="false">IF(J69="Y",C69*Settings!$C$34,0)</f>
        <v>0</v>
      </c>
      <c r="E69" s="55" t="n">
        <f aca="false">C69+D69</f>
        <v>0</v>
      </c>
      <c r="F69" s="56"/>
      <c r="H69" s="49" t="n">
        <v>0</v>
      </c>
      <c r="I69" s="57" t="n">
        <f aca="false">Settings!$C$35</f>
        <v>0.2</v>
      </c>
      <c r="J69" s="43" t="s">
        <v>240</v>
      </c>
      <c r="L69" s="43" t="s">
        <v>242</v>
      </c>
      <c r="M69" s="51" t="n">
        <f aca="false">Settings!$C$19*11*7</f>
        <v>3080</v>
      </c>
      <c r="N69" s="52" t="s">
        <v>300</v>
      </c>
    </row>
    <row r="70" customFormat="false" ht="15" hidden="false" customHeight="true" outlineLevel="2" collapsed="false">
      <c r="A70" s="53"/>
      <c r="B70" s="54" t="s">
        <v>301</v>
      </c>
      <c r="C70" s="55" t="n">
        <f aca="false">IF($L70="Y",0,H70*(1+I70))</f>
        <v>0</v>
      </c>
      <c r="D70" s="55" t="n">
        <f aca="false">IF(J70="Y",C70*Settings!$C$34,0)</f>
        <v>0</v>
      </c>
      <c r="E70" s="55" t="n">
        <f aca="false">C70+D70</f>
        <v>0</v>
      </c>
      <c r="F70" s="56"/>
      <c r="H70" s="49" t="n">
        <v>0</v>
      </c>
      <c r="I70" s="57" t="n">
        <f aca="false">Settings!$C$35</f>
        <v>0.2</v>
      </c>
      <c r="J70" s="43" t="s">
        <v>240</v>
      </c>
      <c r="L70" s="43" t="s">
        <v>242</v>
      </c>
      <c r="M70" s="51" t="n">
        <f aca="false">Settings!$C$18*6</f>
        <v>3600</v>
      </c>
      <c r="N70" s="52" t="s">
        <v>302</v>
      </c>
    </row>
    <row r="71" customFormat="false" ht="15" hidden="false" customHeight="true" outlineLevel="2" collapsed="false">
      <c r="A71" s="45"/>
      <c r="B71" s="46" t="s">
        <v>303</v>
      </c>
      <c r="C71" s="47" t="n">
        <f aca="false">IF($L71="Y",0,H71*(1+I71))</f>
        <v>0</v>
      </c>
      <c r="D71" s="47" t="n">
        <f aca="false">IF(J71="Y",C71*Settings!$C$34,0)</f>
        <v>0</v>
      </c>
      <c r="E71" s="47" t="n">
        <f aca="false">C71+D71</f>
        <v>0</v>
      </c>
      <c r="F71" s="48"/>
      <c r="H71" s="49" t="n">
        <v>0</v>
      </c>
      <c r="I71" s="57" t="n">
        <f aca="false">Settings!$C$35</f>
        <v>0.2</v>
      </c>
      <c r="J71" s="43" t="s">
        <v>240</v>
      </c>
      <c r="L71" s="43" t="s">
        <v>242</v>
      </c>
      <c r="M71" s="51" t="n">
        <f aca="false">Settings!$C$14*6</f>
        <v>2400</v>
      </c>
      <c r="N71" s="52" t="s">
        <v>304</v>
      </c>
    </row>
    <row r="72" customFormat="false" ht="24" hidden="false" customHeight="true" outlineLevel="0" collapsed="false">
      <c r="A72" s="25" t="s">
        <v>149</v>
      </c>
      <c r="B72" s="26" t="s">
        <v>150</v>
      </c>
      <c r="C72" s="26"/>
      <c r="D72" s="26"/>
      <c r="E72" s="26"/>
      <c r="F72" s="39" t="n">
        <f aca="false">F73+F75</f>
        <v>0</v>
      </c>
    </row>
    <row r="73" customFormat="false" ht="18" hidden="false" customHeight="true" outlineLevel="1" collapsed="false">
      <c r="A73" s="40" t="s">
        <v>151</v>
      </c>
      <c r="B73" s="41" t="str">
        <f aca="false">"HVAC"&amp;IF($K73="Y","   (Allowance)","")</f>
        <v>HVAC</v>
      </c>
      <c r="C73" s="41"/>
      <c r="D73" s="41"/>
      <c r="E73" s="41"/>
      <c r="F73" s="42" t="n">
        <f aca="false">SUM(E74)</f>
        <v>0</v>
      </c>
      <c r="K73" s="43" t="s">
        <v>242</v>
      </c>
      <c r="O73" s="44" t="s">
        <v>240</v>
      </c>
    </row>
    <row r="74" customFormat="false" ht="15" hidden="false" customHeight="true" outlineLevel="2" collapsed="false">
      <c r="A74" s="45"/>
      <c r="B74" s="46" t="s">
        <v>305</v>
      </c>
      <c r="C74" s="47" t="n">
        <f aca="false">IF($L74="Y",0,H74*(1+I74))</f>
        <v>0</v>
      </c>
      <c r="D74" s="47" t="n">
        <f aca="false">IF(J74="Y",C74*Settings!$C$34,0)</f>
        <v>0</v>
      </c>
      <c r="E74" s="47" t="n">
        <f aca="false">C74+D74</f>
        <v>0</v>
      </c>
      <c r="F74" s="48"/>
      <c r="H74" s="49" t="n">
        <v>0</v>
      </c>
      <c r="I74" s="57" t="n">
        <f aca="false">Settings!$C$35</f>
        <v>0.2</v>
      </c>
      <c r="J74" s="43" t="s">
        <v>240</v>
      </c>
      <c r="L74" s="43" t="s">
        <v>242</v>
      </c>
      <c r="M74" s="51" t="n">
        <f aca="false">Settings!$C$13*9.5</f>
        <v>17100</v>
      </c>
      <c r="N74" s="52" t="s">
        <v>306</v>
      </c>
    </row>
    <row r="75" customFormat="false" ht="18" hidden="false" customHeight="true" outlineLevel="1" collapsed="false">
      <c r="A75" s="40" t="s">
        <v>153</v>
      </c>
      <c r="B75" s="41" t="str">
        <f aca="false">"Fireplace"&amp;IF($K75="Y","   (Allowance)","")</f>
        <v>Fireplace   (Allowance)</v>
      </c>
      <c r="C75" s="41"/>
      <c r="D75" s="41"/>
      <c r="E75" s="41"/>
      <c r="F75" s="42" t="n">
        <f aca="false">SUM(E76)</f>
        <v>0</v>
      </c>
      <c r="K75" s="43" t="s">
        <v>240</v>
      </c>
      <c r="O75" s="44" t="s">
        <v>240</v>
      </c>
    </row>
    <row r="76" customFormat="false" ht="15" hidden="false" customHeight="true" outlineLevel="2" collapsed="false">
      <c r="A76" s="45"/>
      <c r="B76" s="46" t="s">
        <v>307</v>
      </c>
      <c r="C76" s="47" t="n">
        <f aca="false">IF($L76="Y",0,H76*(1+I76))</f>
        <v>0</v>
      </c>
      <c r="D76" s="47" t="n">
        <f aca="false">IF(J76="Y",C76*Settings!$C$34,0)</f>
        <v>0</v>
      </c>
      <c r="E76" s="47" t="n">
        <f aca="false">C76+D76</f>
        <v>0</v>
      </c>
      <c r="F76" s="48"/>
      <c r="H76" s="49" t="n">
        <v>0</v>
      </c>
      <c r="I76" s="57" t="n">
        <f aca="false">Settings!$C$35</f>
        <v>0.2</v>
      </c>
      <c r="J76" s="43" t="s">
        <v>240</v>
      </c>
      <c r="L76" s="43" t="s">
        <v>242</v>
      </c>
      <c r="M76" s="51" t="n">
        <v>5850</v>
      </c>
      <c r="N76" s="52" t="s">
        <v>243</v>
      </c>
    </row>
    <row r="77" customFormat="false" ht="24" hidden="false" customHeight="true" outlineLevel="0" collapsed="false">
      <c r="A77" s="25" t="s">
        <v>156</v>
      </c>
      <c r="B77" s="26" t="s">
        <v>157</v>
      </c>
      <c r="C77" s="26"/>
      <c r="D77" s="26"/>
      <c r="E77" s="26"/>
      <c r="F77" s="39" t="n">
        <f aca="false">F78</f>
        <v>0</v>
      </c>
    </row>
    <row r="78" customFormat="false" ht="18" hidden="false" customHeight="true" outlineLevel="1" collapsed="false">
      <c r="A78" s="40" t="s">
        <v>158</v>
      </c>
      <c r="B78" s="41" t="str">
        <f aca="false">"Plumbing"&amp;IF($K78="Y","   (Allowance)","")</f>
        <v>Plumbing   (Allowance)</v>
      </c>
      <c r="C78" s="41"/>
      <c r="D78" s="41"/>
      <c r="E78" s="41"/>
      <c r="F78" s="42" t="n">
        <f aca="false">SUM(E79)</f>
        <v>0</v>
      </c>
      <c r="K78" s="43" t="s">
        <v>240</v>
      </c>
      <c r="O78" s="44" t="s">
        <v>240</v>
      </c>
    </row>
    <row r="79" customFormat="false" ht="15" hidden="false" customHeight="true" outlineLevel="2" collapsed="false">
      <c r="A79" s="45"/>
      <c r="B79" s="46" t="s">
        <v>308</v>
      </c>
      <c r="C79" s="47" t="n">
        <f aca="false">IF($L79="Y",0,H79*(1+I79))</f>
        <v>0</v>
      </c>
      <c r="D79" s="47" t="n">
        <f aca="false">IF(J79="Y",C79*Settings!$C$34,0)</f>
        <v>0</v>
      </c>
      <c r="E79" s="47" t="n">
        <f aca="false">C79+D79</f>
        <v>0</v>
      </c>
      <c r="F79" s="48"/>
      <c r="H79" s="49" t="n">
        <v>0</v>
      </c>
      <c r="I79" s="57" t="n">
        <f aca="false">Settings!$C$35</f>
        <v>0.2</v>
      </c>
      <c r="J79" s="43" t="s">
        <v>240</v>
      </c>
      <c r="L79" s="43" t="s">
        <v>242</v>
      </c>
      <c r="M79" s="51" t="n">
        <f aca="false">Settings!$C$13*9.75</f>
        <v>17550</v>
      </c>
      <c r="N79" s="52" t="s">
        <v>309</v>
      </c>
    </row>
    <row r="80" customFormat="false" ht="24" hidden="false" customHeight="true" outlineLevel="0" collapsed="false">
      <c r="A80" s="25" t="s">
        <v>161</v>
      </c>
      <c r="B80" s="26" t="s">
        <v>162</v>
      </c>
      <c r="C80" s="26"/>
      <c r="D80" s="26"/>
      <c r="E80" s="26"/>
      <c r="F80" s="39" t="n">
        <f aca="false">F81+F85</f>
        <v>0</v>
      </c>
    </row>
    <row r="81" customFormat="false" ht="18" hidden="false" customHeight="true" outlineLevel="1" collapsed="false">
      <c r="A81" s="40" t="s">
        <v>163</v>
      </c>
      <c r="B81" s="41" t="str">
        <f aca="false">"Electrical"&amp;IF($K81="Y","   (Allowance)","")</f>
        <v>Electrical   (Allowance)</v>
      </c>
      <c r="C81" s="41"/>
      <c r="D81" s="41"/>
      <c r="E81" s="41"/>
      <c r="F81" s="42" t="n">
        <f aca="false">SUM(E82:E84)</f>
        <v>0</v>
      </c>
      <c r="K81" s="43" t="s">
        <v>240</v>
      </c>
      <c r="O81" s="44" t="s">
        <v>240</v>
      </c>
    </row>
    <row r="82" customFormat="false" ht="15" hidden="false" customHeight="true" outlineLevel="2" collapsed="false">
      <c r="A82" s="53"/>
      <c r="B82" s="54" t="s">
        <v>310</v>
      </c>
      <c r="C82" s="55" t="n">
        <f aca="false">IF($L82="Y",0,H82*(1+I82))</f>
        <v>0</v>
      </c>
      <c r="D82" s="55" t="n">
        <f aca="false">IF(J82="Y",C82*Settings!$C$34,0)</f>
        <v>0</v>
      </c>
      <c r="E82" s="55" t="n">
        <f aca="false">C82+D82</f>
        <v>0</v>
      </c>
      <c r="F82" s="56"/>
      <c r="H82" s="49" t="n">
        <v>0</v>
      </c>
      <c r="I82" s="57" t="n">
        <f aca="false">Settings!$C$35</f>
        <v>0.2</v>
      </c>
      <c r="J82" s="43" t="s">
        <v>240</v>
      </c>
      <c r="L82" s="43" t="s">
        <v>242</v>
      </c>
      <c r="M82" s="51" t="n">
        <f aca="false">Settings!$C$13*11.7</f>
        <v>21060</v>
      </c>
      <c r="N82" s="52" t="s">
        <v>311</v>
      </c>
    </row>
    <row r="83" customFormat="false" ht="15" hidden="false" customHeight="true" outlineLevel="2" collapsed="false">
      <c r="A83" s="53"/>
      <c r="B83" s="54" t="s">
        <v>312</v>
      </c>
      <c r="C83" s="55" t="n">
        <f aca="false">IF($L83="Y",0,H83*(1+I83))</f>
        <v>0</v>
      </c>
      <c r="D83" s="55" t="n">
        <f aca="false">IF(J83="Y",C83*Settings!$C$34,0)</f>
        <v>0</v>
      </c>
      <c r="E83" s="55" t="n">
        <f aca="false">C83+D83</f>
        <v>0</v>
      </c>
      <c r="F83" s="56"/>
      <c r="H83" s="49" t="n">
        <v>0</v>
      </c>
      <c r="I83" s="57" t="n">
        <f aca="false">Settings!$C$35</f>
        <v>0.2</v>
      </c>
      <c r="J83" s="43" t="s">
        <v>240</v>
      </c>
      <c r="L83" s="43" t="s">
        <v>242</v>
      </c>
      <c r="M83" s="51" t="n">
        <f aca="false">1500</f>
        <v>1500</v>
      </c>
      <c r="N83" s="52" t="s">
        <v>313</v>
      </c>
    </row>
    <row r="84" customFormat="false" ht="15" hidden="false" customHeight="true" outlineLevel="2" collapsed="false">
      <c r="A84" s="45"/>
      <c r="B84" s="46" t="s">
        <v>314</v>
      </c>
      <c r="C84" s="47" t="n">
        <f aca="false">IF($L84="Y",0,H84*(1+I84))</f>
        <v>0</v>
      </c>
      <c r="D84" s="47" t="n">
        <f aca="false">IF(J84="Y",C84*Settings!$C$34,0)</f>
        <v>0</v>
      </c>
      <c r="E84" s="47" t="n">
        <f aca="false">C84+D84</f>
        <v>0</v>
      </c>
      <c r="F84" s="48"/>
      <c r="H84" s="49" t="n">
        <v>0</v>
      </c>
      <c r="I84" s="57" t="n">
        <f aca="false">Settings!$C$35</f>
        <v>0.2</v>
      </c>
      <c r="J84" s="43" t="s">
        <v>240</v>
      </c>
      <c r="L84" s="43" t="s">
        <v>242</v>
      </c>
      <c r="M84" s="51" t="n">
        <f aca="false">900</f>
        <v>900</v>
      </c>
      <c r="N84" s="52" t="s">
        <v>315</v>
      </c>
    </row>
    <row r="85" customFormat="false" ht="18" hidden="false" customHeight="true" outlineLevel="1" collapsed="false">
      <c r="A85" s="40" t="s">
        <v>166</v>
      </c>
      <c r="B85" s="41" t="str">
        <f aca="false">"Electrical Fixtures"&amp;IF($K85="Y","   (Allowance)","")</f>
        <v>Electrical Fixtures   (Allowance)</v>
      </c>
      <c r="C85" s="41"/>
      <c r="D85" s="41"/>
      <c r="E85" s="41"/>
      <c r="F85" s="42" t="n">
        <f aca="false">SUM(E86)</f>
        <v>0</v>
      </c>
      <c r="K85" s="43" t="s">
        <v>240</v>
      </c>
      <c r="O85" s="44" t="s">
        <v>242</v>
      </c>
    </row>
    <row r="86" customFormat="false" ht="15" hidden="false" customHeight="true" outlineLevel="2" collapsed="false">
      <c r="A86" s="45"/>
      <c r="B86" s="46" t="s">
        <v>316</v>
      </c>
      <c r="C86" s="47" t="n">
        <f aca="false">IF($L86="Y",0,H86*(1+I86))</f>
        <v>0</v>
      </c>
      <c r="D86" s="47" t="n">
        <f aca="false">IF(J86="Y",C86*Settings!$C$34,0)</f>
        <v>0</v>
      </c>
      <c r="E86" s="47" t="n">
        <f aca="false">C86+D86</f>
        <v>0</v>
      </c>
      <c r="F86" s="48"/>
      <c r="H86" s="49" t="n">
        <v>0</v>
      </c>
      <c r="I86" s="50" t="n">
        <v>0</v>
      </c>
      <c r="J86" s="43" t="s">
        <v>240</v>
      </c>
      <c r="L86" s="43" t="s">
        <v>242</v>
      </c>
      <c r="M86" s="51" t="n">
        <v>0</v>
      </c>
      <c r="N86" s="52" t="s">
        <v>255</v>
      </c>
    </row>
    <row r="87" customFormat="false" ht="24" hidden="false" customHeight="true" outlineLevel="0" collapsed="false">
      <c r="A87" s="25" t="s">
        <v>169</v>
      </c>
      <c r="B87" s="26" t="s">
        <v>170</v>
      </c>
      <c r="C87" s="26"/>
      <c r="D87" s="26"/>
      <c r="E87" s="26"/>
      <c r="F87" s="39" t="n">
        <f aca="false">F88</f>
        <v>0</v>
      </c>
    </row>
    <row r="88" customFormat="false" ht="18" hidden="false" customHeight="true" outlineLevel="1" collapsed="false">
      <c r="A88" s="40" t="s">
        <v>171</v>
      </c>
      <c r="B88" s="41" t="str">
        <f aca="false">"Insulation"&amp;IF($K88="Y","   (Allowance)","")</f>
        <v>Insulation</v>
      </c>
      <c r="C88" s="41"/>
      <c r="D88" s="41"/>
      <c r="E88" s="41"/>
      <c r="F88" s="42" t="n">
        <f aca="false">SUM(E89)</f>
        <v>0</v>
      </c>
      <c r="K88" s="43" t="s">
        <v>242</v>
      </c>
      <c r="O88" s="44" t="s">
        <v>240</v>
      </c>
    </row>
    <row r="89" customFormat="false" ht="15" hidden="false" customHeight="true" outlineLevel="2" collapsed="false">
      <c r="A89" s="45"/>
      <c r="B89" s="46" t="s">
        <v>170</v>
      </c>
      <c r="C89" s="47" t="n">
        <f aca="false">IF($L89="Y",0,H89*(1+I89))</f>
        <v>0</v>
      </c>
      <c r="D89" s="47" t="n">
        <f aca="false">IF(J89="Y",C89*Settings!$C$34,0)</f>
        <v>0</v>
      </c>
      <c r="E89" s="47" t="n">
        <f aca="false">C89+D89</f>
        <v>0</v>
      </c>
      <c r="F89" s="48"/>
      <c r="H89" s="49" t="n">
        <v>0</v>
      </c>
      <c r="I89" s="57" t="n">
        <f aca="false">Settings!$C$35</f>
        <v>0.2</v>
      </c>
      <c r="J89" s="43" t="s">
        <v>240</v>
      </c>
      <c r="L89" s="43" t="s">
        <v>242</v>
      </c>
      <c r="M89" s="51" t="n">
        <f aca="false">Settings!$C$23*2.25+Settings!$C$13*1.5</f>
        <v>6547.5</v>
      </c>
      <c r="N89" s="52" t="s">
        <v>317</v>
      </c>
    </row>
    <row r="90" customFormat="false" ht="24" hidden="false" customHeight="true" outlineLevel="0" collapsed="false">
      <c r="A90" s="25" t="s">
        <v>173</v>
      </c>
      <c r="B90" s="26" t="s">
        <v>174</v>
      </c>
      <c r="C90" s="26"/>
      <c r="D90" s="26"/>
      <c r="E90" s="26"/>
      <c r="F90" s="39" t="n">
        <f aca="false">F91+F93+F95+F96+F99</f>
        <v>0</v>
      </c>
    </row>
    <row r="91" customFormat="false" ht="18" hidden="false" customHeight="true" outlineLevel="1" collapsed="false">
      <c r="A91" s="40" t="s">
        <v>175</v>
      </c>
      <c r="B91" s="41" t="str">
        <f aca="false">"Drywall"&amp;IF($K91="Y","   (Allowance)","")</f>
        <v>Drywall</v>
      </c>
      <c r="C91" s="41"/>
      <c r="D91" s="41"/>
      <c r="E91" s="41"/>
      <c r="F91" s="42" t="n">
        <f aca="false">SUM(E92)</f>
        <v>0</v>
      </c>
      <c r="K91" s="43" t="s">
        <v>242</v>
      </c>
      <c r="O91" s="44" t="s">
        <v>240</v>
      </c>
    </row>
    <row r="92" customFormat="false" ht="15" hidden="false" customHeight="true" outlineLevel="2" collapsed="false">
      <c r="A92" s="45"/>
      <c r="B92" s="46" t="s">
        <v>318</v>
      </c>
      <c r="C92" s="47" t="n">
        <f aca="false">IF($L92="Y",0,H92*(1+I92))</f>
        <v>0</v>
      </c>
      <c r="D92" s="47" t="n">
        <f aca="false">IF(J92="Y",C92*Settings!$C$34,0)</f>
        <v>0</v>
      </c>
      <c r="E92" s="47" t="n">
        <f aca="false">C92+D92</f>
        <v>0</v>
      </c>
      <c r="F92" s="48"/>
      <c r="H92" s="49" t="n">
        <v>0</v>
      </c>
      <c r="I92" s="57" t="n">
        <f aca="false">Settings!$C$35</f>
        <v>0.2</v>
      </c>
      <c r="J92" s="43" t="s">
        <v>240</v>
      </c>
      <c r="L92" s="43" t="s">
        <v>242</v>
      </c>
      <c r="M92" s="51" t="n">
        <f aca="false">Settings!$C$13*3.5*2.1</f>
        <v>13230</v>
      </c>
      <c r="N92" s="52" t="s">
        <v>319</v>
      </c>
    </row>
    <row r="93" customFormat="false" ht="18" hidden="false" customHeight="true" outlineLevel="1" collapsed="false">
      <c r="A93" s="40" t="s">
        <v>178</v>
      </c>
      <c r="B93" s="41" t="str">
        <f aca="false">"Interior Paint"&amp;IF($K93="Y","   (Allowance)","")</f>
        <v>Interior Paint</v>
      </c>
      <c r="C93" s="41"/>
      <c r="D93" s="41"/>
      <c r="E93" s="41"/>
      <c r="F93" s="42" t="n">
        <f aca="false">SUM(E94)</f>
        <v>0</v>
      </c>
      <c r="K93" s="43" t="s">
        <v>242</v>
      </c>
      <c r="O93" s="44" t="s">
        <v>240</v>
      </c>
    </row>
    <row r="94" customFormat="false" ht="15" hidden="false" customHeight="true" outlineLevel="2" collapsed="false">
      <c r="A94" s="45"/>
      <c r="B94" s="46" t="s">
        <v>320</v>
      </c>
      <c r="C94" s="47" t="n">
        <f aca="false">IF($L94="Y",0,H94*(1+I94))</f>
        <v>0</v>
      </c>
      <c r="D94" s="47" t="n">
        <f aca="false">IF(J94="Y",C94*Settings!$C$34,0)</f>
        <v>0</v>
      </c>
      <c r="E94" s="47" t="n">
        <f aca="false">C94+D94</f>
        <v>0</v>
      </c>
      <c r="F94" s="48"/>
      <c r="H94" s="49" t="n">
        <v>0</v>
      </c>
      <c r="I94" s="57" t="n">
        <f aca="false">Settings!$C$35</f>
        <v>0.2</v>
      </c>
      <c r="J94" s="43" t="s">
        <v>240</v>
      </c>
      <c r="L94" s="43" t="s">
        <v>242</v>
      </c>
      <c r="M94" s="51" t="n">
        <f aca="false">Settings!$C$13*3.5*1.1</f>
        <v>6930</v>
      </c>
      <c r="N94" s="52" t="s">
        <v>321</v>
      </c>
    </row>
    <row r="95" customFormat="false" ht="18" hidden="false" customHeight="true" outlineLevel="1" collapsed="false">
      <c r="A95" s="40" t="s">
        <v>181</v>
      </c>
      <c r="B95" s="41" t="str">
        <f aca="false">"Interior Paint Color(s)"&amp;IF($K95="Y","   (Allowance)","")</f>
        <v>Interior Paint Color(s)</v>
      </c>
      <c r="C95" s="41"/>
      <c r="D95" s="41"/>
      <c r="E95" s="41"/>
      <c r="F95" s="42" t="n">
        <v>0</v>
      </c>
      <c r="K95" s="43" t="s">
        <v>242</v>
      </c>
      <c r="O95" s="44" t="s">
        <v>242</v>
      </c>
    </row>
    <row r="96" customFormat="false" ht="18" hidden="false" customHeight="true" outlineLevel="1" collapsed="false">
      <c r="A96" s="40" t="s">
        <v>184</v>
      </c>
      <c r="B96" s="41" t="str">
        <f aca="false">"Bathroom accessories and mirrors"&amp;IF($K96="Y","   (Allowance)","")</f>
        <v>Bathroom accessories and mirrors   (Allowance)</v>
      </c>
      <c r="C96" s="41"/>
      <c r="D96" s="41"/>
      <c r="E96" s="41"/>
      <c r="F96" s="42" t="n">
        <f aca="false">SUM(E97:E98)</f>
        <v>0</v>
      </c>
      <c r="K96" s="43" t="s">
        <v>240</v>
      </c>
      <c r="O96" s="44" t="s">
        <v>240</v>
      </c>
    </row>
    <row r="97" customFormat="false" ht="15" hidden="false" customHeight="true" outlineLevel="2" collapsed="false">
      <c r="A97" s="53"/>
      <c r="B97" s="54" t="s">
        <v>322</v>
      </c>
      <c r="C97" s="55" t="n">
        <f aca="false">IF($L97="Y",0,H97*(1+I97))</f>
        <v>0</v>
      </c>
      <c r="D97" s="55" t="n">
        <f aca="false">IF(J97="Y",C97*Settings!$C$34,0)</f>
        <v>0</v>
      </c>
      <c r="E97" s="55" t="n">
        <f aca="false">C97+D97</f>
        <v>0</v>
      </c>
      <c r="F97" s="56"/>
      <c r="H97" s="49" t="n">
        <v>0</v>
      </c>
      <c r="I97" s="57" t="n">
        <f aca="false">Settings!$C$35</f>
        <v>0.2</v>
      </c>
      <c r="J97" s="43" t="s">
        <v>240</v>
      </c>
      <c r="L97" s="43" t="s">
        <v>242</v>
      </c>
      <c r="M97" s="51" t="n">
        <v>0</v>
      </c>
      <c r="N97" s="52" t="s">
        <v>255</v>
      </c>
    </row>
    <row r="98" customFormat="false" ht="15" hidden="false" customHeight="true" outlineLevel="2" collapsed="false">
      <c r="A98" s="45"/>
      <c r="B98" s="46" t="s">
        <v>323</v>
      </c>
      <c r="C98" s="47" t="n">
        <f aca="false">IF($L98="Y",0,H98*(1+I98))</f>
        <v>0</v>
      </c>
      <c r="D98" s="47" t="n">
        <f aca="false">IF(J98="Y",C98*Settings!$C$34,0)</f>
        <v>0</v>
      </c>
      <c r="E98" s="47" t="n">
        <f aca="false">C98+D98</f>
        <v>0</v>
      </c>
      <c r="F98" s="48"/>
      <c r="H98" s="49" t="n">
        <v>0</v>
      </c>
      <c r="I98" s="57" t="n">
        <f aca="false">Settings!$C$35</f>
        <v>0.2</v>
      </c>
      <c r="J98" s="43" t="s">
        <v>240</v>
      </c>
      <c r="L98" s="43" t="s">
        <v>242</v>
      </c>
      <c r="M98" s="51" t="n">
        <v>0</v>
      </c>
      <c r="N98" s="52" t="s">
        <v>255</v>
      </c>
    </row>
    <row r="99" customFormat="false" ht="18" hidden="false" customHeight="true" outlineLevel="1" collapsed="false">
      <c r="A99" s="40" t="s">
        <v>187</v>
      </c>
      <c r="B99" s="41" t="str">
        <f aca="false">"Masonry - Fireplace facade"&amp;IF($K99="Y","   (Allowance)","")</f>
        <v>Masonry - Fireplace facade   (Allowance)</v>
      </c>
      <c r="C99" s="41"/>
      <c r="D99" s="41"/>
      <c r="E99" s="41"/>
      <c r="F99" s="42" t="n">
        <f aca="false">SUM(E100:E101)</f>
        <v>0</v>
      </c>
      <c r="K99" s="43" t="s">
        <v>240</v>
      </c>
      <c r="O99" s="44" t="s">
        <v>242</v>
      </c>
    </row>
    <row r="100" customFormat="false" ht="15" hidden="false" customHeight="true" outlineLevel="2" collapsed="false">
      <c r="A100" s="53"/>
      <c r="B100" s="54" t="s">
        <v>324</v>
      </c>
      <c r="C100" s="55" t="n">
        <f aca="false">IF($L100="Y",0,H100*(1+I100))</f>
        <v>0</v>
      </c>
      <c r="D100" s="55" t="n">
        <f aca="false">IF(J100="Y",C100*Settings!$C$34,0)</f>
        <v>0</v>
      </c>
      <c r="E100" s="55" t="n">
        <f aca="false">C100+D100</f>
        <v>0</v>
      </c>
      <c r="F100" s="56"/>
      <c r="H100" s="49" t="n">
        <v>0</v>
      </c>
      <c r="I100" s="57" t="n">
        <f aca="false">Settings!$C$35</f>
        <v>0.2</v>
      </c>
      <c r="J100" s="43" t="s">
        <v>240</v>
      </c>
      <c r="L100" s="43" t="s">
        <v>242</v>
      </c>
      <c r="M100" s="51" t="n">
        <v>0</v>
      </c>
      <c r="N100" s="52" t="s">
        <v>255</v>
      </c>
    </row>
    <row r="101" customFormat="false" ht="15" hidden="false" customHeight="true" outlineLevel="2" collapsed="false">
      <c r="A101" s="45"/>
      <c r="B101" s="46" t="s">
        <v>325</v>
      </c>
      <c r="C101" s="47" t="n">
        <f aca="false">IF($L101="Y",0,H101*(1+I101))</f>
        <v>0</v>
      </c>
      <c r="D101" s="47" t="n">
        <f aca="false">IF(J101="Y",C101*Settings!$C$34,0)</f>
        <v>0</v>
      </c>
      <c r="E101" s="47" t="n">
        <f aca="false">C101+D101</f>
        <v>0</v>
      </c>
      <c r="F101" s="48"/>
      <c r="H101" s="49" t="n">
        <v>0</v>
      </c>
      <c r="I101" s="57" t="n">
        <f aca="false">Settings!$C$35</f>
        <v>0.2</v>
      </c>
      <c r="J101" s="43" t="s">
        <v>240</v>
      </c>
      <c r="L101" s="43" t="s">
        <v>242</v>
      </c>
      <c r="M101" s="51" t="n">
        <v>0</v>
      </c>
      <c r="N101" s="52" t="s">
        <v>255</v>
      </c>
    </row>
    <row r="102" customFormat="false" ht="24" hidden="false" customHeight="true" outlineLevel="0" collapsed="false">
      <c r="A102" s="25" t="s">
        <v>190</v>
      </c>
      <c r="B102" s="26" t="s">
        <v>191</v>
      </c>
      <c r="C102" s="26"/>
      <c r="D102" s="26"/>
      <c r="E102" s="26"/>
      <c r="F102" s="39" t="n">
        <f aca="false">F103+F108</f>
        <v>0</v>
      </c>
    </row>
    <row r="103" customFormat="false" ht="18" hidden="false" customHeight="true" outlineLevel="1" collapsed="false">
      <c r="A103" s="40" t="s">
        <v>192</v>
      </c>
      <c r="B103" s="41" t="str">
        <f aca="false">"Flooring Labor"&amp;IF($K103="Y","   (Allowance)","")</f>
        <v>Flooring Labor   (Allowance)</v>
      </c>
      <c r="C103" s="41"/>
      <c r="D103" s="41"/>
      <c r="E103" s="41"/>
      <c r="F103" s="42" t="n">
        <f aca="false">SUM(E104:E107)</f>
        <v>0</v>
      </c>
      <c r="K103" s="43" t="s">
        <v>240</v>
      </c>
      <c r="O103" s="44" t="s">
        <v>240</v>
      </c>
    </row>
    <row r="104" customFormat="false" ht="15" hidden="false" customHeight="true" outlineLevel="2" collapsed="false">
      <c r="A104" s="53"/>
      <c r="B104" s="54" t="s">
        <v>326</v>
      </c>
      <c r="C104" s="55" t="n">
        <f aca="false">IF($L104="Y",0,H104*(1+I104))</f>
        <v>0</v>
      </c>
      <c r="D104" s="55" t="n">
        <f aca="false">IF(J104="Y",C104*Settings!$C$34,0)</f>
        <v>0</v>
      </c>
      <c r="E104" s="55" t="n">
        <f aca="false">C104+D104</f>
        <v>0</v>
      </c>
      <c r="F104" s="56"/>
      <c r="H104" s="49" t="n">
        <v>0</v>
      </c>
      <c r="I104" s="57" t="n">
        <f aca="false">Settings!$C$35</f>
        <v>0.2</v>
      </c>
      <c r="J104" s="43" t="s">
        <v>240</v>
      </c>
      <c r="L104" s="43" t="s">
        <v>242</v>
      </c>
      <c r="M104" s="51" t="n">
        <f aca="false">Settings!$C$25*2.5</f>
        <v>3500</v>
      </c>
      <c r="N104" s="52" t="s">
        <v>327</v>
      </c>
    </row>
    <row r="105" customFormat="false" ht="15" hidden="false" customHeight="true" outlineLevel="2" collapsed="false">
      <c r="A105" s="53"/>
      <c r="B105" s="54" t="s">
        <v>328</v>
      </c>
      <c r="C105" s="55" t="n">
        <f aca="false">IF($L105="Y",0,H105*(1+I105))</f>
        <v>0</v>
      </c>
      <c r="D105" s="55" t="n">
        <f aca="false">IF(J105="Y",C105*Settings!$C$34,0)</f>
        <v>0</v>
      </c>
      <c r="E105" s="55" t="n">
        <f aca="false">C105+D105</f>
        <v>0</v>
      </c>
      <c r="F105" s="56"/>
      <c r="H105" s="49" t="n">
        <v>0</v>
      </c>
      <c r="I105" s="57" t="n">
        <f aca="false">Settings!$C$35</f>
        <v>0.2</v>
      </c>
      <c r="J105" s="43" t="s">
        <v>240</v>
      </c>
      <c r="L105" s="43" t="s">
        <v>242</v>
      </c>
      <c r="M105" s="51" t="n">
        <f aca="false">Settings!$C$24*10</f>
        <v>4000</v>
      </c>
      <c r="N105" s="52" t="s">
        <v>329</v>
      </c>
    </row>
    <row r="106" customFormat="false" ht="15" hidden="false" customHeight="true" outlineLevel="2" collapsed="false">
      <c r="A106" s="53"/>
      <c r="B106" s="54" t="s">
        <v>330</v>
      </c>
      <c r="C106" s="55" t="n">
        <f aca="false">IF($L106="Y",0,H106*(1+I106))</f>
        <v>0</v>
      </c>
      <c r="D106" s="55" t="n">
        <f aca="false">IF(J106="Y",C106*Settings!$C$34,0)</f>
        <v>0</v>
      </c>
      <c r="E106" s="55" t="n">
        <f aca="false">C106+D106</f>
        <v>0</v>
      </c>
      <c r="F106" s="56"/>
      <c r="H106" s="49" t="n">
        <v>0</v>
      </c>
      <c r="I106" s="57" t="n">
        <f aca="false">Settings!$C$35</f>
        <v>0.2</v>
      </c>
      <c r="J106" s="43" t="s">
        <v>240</v>
      </c>
      <c r="L106" s="43" t="s">
        <v>242</v>
      </c>
      <c r="M106" s="51" t="n">
        <f aca="false">1200</f>
        <v>1200</v>
      </c>
      <c r="N106" s="52" t="s">
        <v>331</v>
      </c>
    </row>
    <row r="107" customFormat="false" ht="15" hidden="false" customHeight="true" outlineLevel="2" collapsed="false">
      <c r="A107" s="45"/>
      <c r="B107" s="46" t="s">
        <v>332</v>
      </c>
      <c r="C107" s="47" t="n">
        <f aca="false">IF($L107="Y",0,H107*(1+I107))</f>
        <v>0</v>
      </c>
      <c r="D107" s="47" t="n">
        <f aca="false">IF(J107="Y",C107*Settings!$C$34,0)</f>
        <v>0</v>
      </c>
      <c r="E107" s="47" t="n">
        <f aca="false">C107+D107</f>
        <v>0</v>
      </c>
      <c r="F107" s="48"/>
      <c r="H107" s="49" t="n">
        <v>0</v>
      </c>
      <c r="I107" s="57" t="n">
        <f aca="false">Settings!$C$35</f>
        <v>0.2</v>
      </c>
      <c r="J107" s="43" t="s">
        <v>240</v>
      </c>
      <c r="L107" s="43" t="s">
        <v>242</v>
      </c>
      <c r="M107" s="51" t="n">
        <f aca="false">1500</f>
        <v>1500</v>
      </c>
      <c r="N107" s="52" t="s">
        <v>333</v>
      </c>
    </row>
    <row r="108" customFormat="false" ht="18" hidden="false" customHeight="true" outlineLevel="1" collapsed="false">
      <c r="A108" s="40" t="s">
        <v>195</v>
      </c>
      <c r="B108" s="41" t="str">
        <f aca="false">"Flooring material"&amp;IF($K108="Y","   (Allowance)","")</f>
        <v>Flooring material   (Allowance)</v>
      </c>
      <c r="C108" s="41"/>
      <c r="D108" s="41"/>
      <c r="E108" s="41"/>
      <c r="F108" s="42" t="n">
        <f aca="false">SUM(E109:E110)</f>
        <v>0</v>
      </c>
      <c r="K108" s="43" t="s">
        <v>240</v>
      </c>
      <c r="O108" s="44" t="s">
        <v>242</v>
      </c>
    </row>
    <row r="109" customFormat="false" ht="15" hidden="false" customHeight="true" outlineLevel="2" collapsed="false">
      <c r="A109" s="53"/>
      <c r="B109" s="54" t="s">
        <v>334</v>
      </c>
      <c r="C109" s="55" t="n">
        <f aca="false">IF($L109="Y",0,H109*(1+I109))</f>
        <v>0</v>
      </c>
      <c r="D109" s="55" t="n">
        <f aca="false">IF(J109="Y",C109*Settings!$C$34,0)</f>
        <v>0</v>
      </c>
      <c r="E109" s="55" t="n">
        <f aca="false">C109+D109</f>
        <v>0</v>
      </c>
      <c r="F109" s="56"/>
      <c r="H109" s="49" t="n">
        <v>0</v>
      </c>
      <c r="I109" s="57" t="n">
        <f aca="false">Settings!$C$35</f>
        <v>0.2</v>
      </c>
      <c r="J109" s="43" t="s">
        <v>240</v>
      </c>
      <c r="L109" s="43" t="s">
        <v>242</v>
      </c>
      <c r="M109" s="51" t="n">
        <f aca="false">Settings!$C$24*5</f>
        <v>2000</v>
      </c>
      <c r="N109" s="52" t="s">
        <v>335</v>
      </c>
    </row>
    <row r="110" customFormat="false" ht="15" hidden="false" customHeight="true" outlineLevel="2" collapsed="false">
      <c r="A110" s="45"/>
      <c r="B110" s="46" t="s">
        <v>326</v>
      </c>
      <c r="C110" s="47" t="n">
        <f aca="false">IF($L110="Y",0,H110*(1+I110))</f>
        <v>0</v>
      </c>
      <c r="D110" s="47" t="n">
        <f aca="false">IF(J110="Y",C110*Settings!$C$34,0)</f>
        <v>0</v>
      </c>
      <c r="E110" s="47" t="n">
        <f aca="false">C110+D110</f>
        <v>0</v>
      </c>
      <c r="F110" s="48"/>
      <c r="H110" s="49" t="n">
        <v>0</v>
      </c>
      <c r="I110" s="57" t="n">
        <f aca="false">Settings!$C$35</f>
        <v>0.2</v>
      </c>
      <c r="J110" s="43" t="s">
        <v>240</v>
      </c>
      <c r="L110" s="43" t="s">
        <v>242</v>
      </c>
      <c r="M110" s="51" t="n">
        <f aca="false">Settings!$C$25*4</f>
        <v>5600</v>
      </c>
      <c r="N110" s="52" t="s">
        <v>336</v>
      </c>
    </row>
    <row r="111" customFormat="false" ht="24" hidden="false" customHeight="true" outlineLevel="0" collapsed="false">
      <c r="A111" s="25" t="s">
        <v>198</v>
      </c>
      <c r="B111" s="26" t="s">
        <v>199</v>
      </c>
      <c r="C111" s="26"/>
      <c r="D111" s="26"/>
      <c r="E111" s="26"/>
      <c r="F111" s="39" t="n">
        <f aca="false">F112+F114+F116+F118</f>
        <v>0</v>
      </c>
    </row>
    <row r="112" customFormat="false" ht="18" hidden="false" customHeight="true" outlineLevel="1" collapsed="false">
      <c r="A112" s="40" t="s">
        <v>200</v>
      </c>
      <c r="B112" s="41" t="str">
        <f aca="false">"Millwork"&amp;IF($K112="Y","   (Allowance)","")</f>
        <v>Millwork</v>
      </c>
      <c r="C112" s="41"/>
      <c r="D112" s="41"/>
      <c r="E112" s="41"/>
      <c r="F112" s="42" t="n">
        <f aca="false">SUM(E113)</f>
        <v>0</v>
      </c>
      <c r="K112" s="43" t="s">
        <v>242</v>
      </c>
      <c r="O112" s="44" t="s">
        <v>240</v>
      </c>
    </row>
    <row r="113" customFormat="false" ht="15" hidden="false" customHeight="true" outlineLevel="2" collapsed="false">
      <c r="A113" s="45"/>
      <c r="B113" s="46" t="s">
        <v>337</v>
      </c>
      <c r="C113" s="47" t="n">
        <f aca="false">IF($L113="Y",0,H113*(1+I113))</f>
        <v>0</v>
      </c>
      <c r="D113" s="47" t="n">
        <f aca="false">IF(J113="Y",C113*Settings!$C$34,0)</f>
        <v>0</v>
      </c>
      <c r="E113" s="47" t="n">
        <f aca="false">C113+D113</f>
        <v>0</v>
      </c>
      <c r="F113" s="48"/>
      <c r="H113" s="49" t="n">
        <v>0</v>
      </c>
      <c r="I113" s="57" t="n">
        <f aca="false">Settings!$C$35</f>
        <v>0.2</v>
      </c>
      <c r="J113" s="43" t="s">
        <v>240</v>
      </c>
      <c r="L113" s="43" t="s">
        <v>242</v>
      </c>
      <c r="M113" s="51" t="n">
        <f aca="false">Settings!$C$13*2.5</f>
        <v>4500</v>
      </c>
      <c r="N113" s="52" t="s">
        <v>338</v>
      </c>
    </row>
    <row r="114" customFormat="false" ht="18" hidden="false" customHeight="true" outlineLevel="1" collapsed="false">
      <c r="A114" s="40" t="s">
        <v>203</v>
      </c>
      <c r="B114" s="41" t="str">
        <f aca="false">"Finish Carpentry"&amp;IF($K114="Y","   (Allowance)","")</f>
        <v>Finish Carpentry</v>
      </c>
      <c r="C114" s="41"/>
      <c r="D114" s="41"/>
      <c r="E114" s="41"/>
      <c r="F114" s="42" t="n">
        <f aca="false">SUM(E115)</f>
        <v>0</v>
      </c>
      <c r="K114" s="43" t="s">
        <v>242</v>
      </c>
      <c r="O114" s="44" t="s">
        <v>240</v>
      </c>
    </row>
    <row r="115" customFormat="false" ht="15" hidden="false" customHeight="true" outlineLevel="2" collapsed="false">
      <c r="A115" s="45"/>
      <c r="B115" s="46" t="s">
        <v>339</v>
      </c>
      <c r="C115" s="47" t="n">
        <f aca="false">IF($L115="Y",0,H115*(1+I115))</f>
        <v>0</v>
      </c>
      <c r="D115" s="47" t="n">
        <f aca="false">IF(J115="Y",C115*Settings!$C$34,0)</f>
        <v>0</v>
      </c>
      <c r="E115" s="47" t="n">
        <f aca="false">C115+D115</f>
        <v>0</v>
      </c>
      <c r="F115" s="48"/>
      <c r="H115" s="49" t="n">
        <v>0</v>
      </c>
      <c r="I115" s="57" t="n">
        <f aca="false">Settings!$C$35</f>
        <v>0.2</v>
      </c>
      <c r="J115" s="43" t="s">
        <v>240</v>
      </c>
      <c r="L115" s="43" t="s">
        <v>242</v>
      </c>
      <c r="M115" s="51" t="n">
        <f aca="false">Settings!$C$13*2.5</f>
        <v>4500</v>
      </c>
      <c r="N115" s="52" t="s">
        <v>340</v>
      </c>
    </row>
    <row r="116" customFormat="false" ht="18" hidden="false" customHeight="true" outlineLevel="1" collapsed="false">
      <c r="A116" s="40" t="s">
        <v>206</v>
      </c>
      <c r="B116" s="41" t="str">
        <f aca="false">"Cabinet Specifications"&amp;IF($K116="Y","   (Allowance)","")</f>
        <v>Cabinet Specifications   (Allowance)</v>
      </c>
      <c r="C116" s="41"/>
      <c r="D116" s="41"/>
      <c r="E116" s="41"/>
      <c r="F116" s="42" t="n">
        <f aca="false">SUM(E117)</f>
        <v>0</v>
      </c>
      <c r="K116" s="43" t="s">
        <v>240</v>
      </c>
      <c r="O116" s="44" t="s">
        <v>240</v>
      </c>
    </row>
    <row r="117" customFormat="false" ht="15" hidden="false" customHeight="true" outlineLevel="2" collapsed="false">
      <c r="A117" s="45"/>
      <c r="B117" s="46" t="s">
        <v>341</v>
      </c>
      <c r="C117" s="47" t="n">
        <f aca="false">IF($L117="Y",0,H117*(1+I117))</f>
        <v>0</v>
      </c>
      <c r="D117" s="47" t="n">
        <f aca="false">IF(J117="Y",C117*Settings!$C$34,0)</f>
        <v>0</v>
      </c>
      <c r="E117" s="47" t="n">
        <f aca="false">C117+D117</f>
        <v>0</v>
      </c>
      <c r="F117" s="48"/>
      <c r="H117" s="49" t="n">
        <v>0</v>
      </c>
      <c r="I117" s="57" t="n">
        <f aca="false">Settings!$C$35</f>
        <v>0.2</v>
      </c>
      <c r="J117" s="43" t="s">
        <v>240</v>
      </c>
      <c r="L117" s="43" t="s">
        <v>242</v>
      </c>
      <c r="M117" s="51" t="n">
        <f aca="false">Settings!$C$26*350</f>
        <v>7000</v>
      </c>
      <c r="N117" s="52" t="s">
        <v>342</v>
      </c>
    </row>
    <row r="118" customFormat="false" ht="18" hidden="false" customHeight="true" outlineLevel="1" collapsed="false">
      <c r="A118" s="40" t="s">
        <v>209</v>
      </c>
      <c r="B118" s="41" t="str">
        <f aca="false">"Countertops"&amp;IF($K118="Y","   (Allowance)","")</f>
        <v>Countertops   (Allowance)</v>
      </c>
      <c r="C118" s="41"/>
      <c r="D118" s="41"/>
      <c r="E118" s="41"/>
      <c r="F118" s="42" t="n">
        <f aca="false">SUM(E119:E120)</f>
        <v>0</v>
      </c>
      <c r="K118" s="43" t="s">
        <v>240</v>
      </c>
      <c r="O118" s="44" t="s">
        <v>240</v>
      </c>
    </row>
    <row r="119" customFormat="false" ht="15" hidden="false" customHeight="true" outlineLevel="2" collapsed="false">
      <c r="A119" s="53"/>
      <c r="B119" s="54" t="s">
        <v>343</v>
      </c>
      <c r="C119" s="55" t="n">
        <f aca="false">IF($L119="Y",0,H119*(1+I119))</f>
        <v>0</v>
      </c>
      <c r="D119" s="55" t="n">
        <f aca="false">IF(J119="Y",C119*Settings!$C$34,0)</f>
        <v>0</v>
      </c>
      <c r="E119" s="55" t="n">
        <f aca="false">C119+D119</f>
        <v>0</v>
      </c>
      <c r="F119" s="56"/>
      <c r="H119" s="49" t="n">
        <v>0</v>
      </c>
      <c r="I119" s="57" t="n">
        <f aca="false">Settings!$C$35</f>
        <v>0.2</v>
      </c>
      <c r="J119" s="43" t="s">
        <v>240</v>
      </c>
      <c r="L119" s="43" t="s">
        <v>242</v>
      </c>
      <c r="M119" s="51" t="n">
        <f aca="false">Settings!$C$26*2.1*65</f>
        <v>2730</v>
      </c>
      <c r="N119" s="52" t="s">
        <v>344</v>
      </c>
    </row>
    <row r="120" customFormat="false" ht="15" hidden="false" customHeight="true" outlineLevel="2" collapsed="false">
      <c r="A120" s="45"/>
      <c r="B120" s="46" t="s">
        <v>345</v>
      </c>
      <c r="C120" s="47" t="n">
        <f aca="false">IF($L120="Y",0,H120*(1+I120))</f>
        <v>0</v>
      </c>
      <c r="D120" s="47" t="n">
        <f aca="false">IF(J120="Y",C120*Settings!$C$34,0)</f>
        <v>0</v>
      </c>
      <c r="E120" s="47" t="n">
        <f aca="false">C120+D120</f>
        <v>0</v>
      </c>
      <c r="F120" s="48"/>
      <c r="H120" s="49" t="n">
        <v>0</v>
      </c>
      <c r="I120" s="57" t="n">
        <f aca="false">Settings!$C$35</f>
        <v>0.2</v>
      </c>
      <c r="J120" s="43" t="s">
        <v>240</v>
      </c>
      <c r="L120" s="43" t="s">
        <v>242</v>
      </c>
      <c r="M120" s="51" t="n">
        <f aca="false">Settings!$C$26*1.5*25</f>
        <v>750</v>
      </c>
      <c r="N120" s="52" t="s">
        <v>346</v>
      </c>
    </row>
    <row r="121" customFormat="false" ht="24" hidden="false" customHeight="true" outlineLevel="0" collapsed="false">
      <c r="A121" s="25" t="s">
        <v>212</v>
      </c>
      <c r="B121" s="26" t="s">
        <v>213</v>
      </c>
      <c r="C121" s="26"/>
      <c r="D121" s="26"/>
      <c r="E121" s="26"/>
      <c r="F121" s="39" t="n">
        <f aca="false">F122+F124</f>
        <v>0</v>
      </c>
    </row>
    <row r="122" customFormat="false" ht="18" hidden="false" customHeight="true" outlineLevel="1" collapsed="false">
      <c r="A122" s="40" t="s">
        <v>214</v>
      </c>
      <c r="B122" s="41" t="str">
        <f aca="false">"Appliance Specifications"&amp;IF($K122="Y","   (Allowance)","")</f>
        <v>Appliance Specifications</v>
      </c>
      <c r="C122" s="41"/>
      <c r="D122" s="41"/>
      <c r="E122" s="41"/>
      <c r="F122" s="42" t="n">
        <f aca="false">SUM(E123)</f>
        <v>0</v>
      </c>
      <c r="K122" s="43" t="s">
        <v>242</v>
      </c>
      <c r="O122" s="44" t="s">
        <v>242</v>
      </c>
    </row>
    <row r="123" customFormat="false" ht="15" hidden="false" customHeight="true" outlineLevel="2" collapsed="false">
      <c r="A123" s="45"/>
      <c r="B123" s="46" t="s">
        <v>347</v>
      </c>
      <c r="C123" s="47" t="n">
        <f aca="false">IF($L123="Y",0,H123*(1+I123))</f>
        <v>0</v>
      </c>
      <c r="D123" s="47" t="n">
        <f aca="false">IF(J123="Y",C123*Settings!$C$34,0)</f>
        <v>0</v>
      </c>
      <c r="E123" s="47" t="n">
        <f aca="false">C123+D123</f>
        <v>0</v>
      </c>
      <c r="F123" s="48"/>
      <c r="H123" s="49" t="n">
        <v>0</v>
      </c>
      <c r="I123" s="50" t="n">
        <v>0</v>
      </c>
      <c r="J123" s="43" t="s">
        <v>240</v>
      </c>
      <c r="L123" s="43" t="s">
        <v>242</v>
      </c>
      <c r="M123" s="51" t="n">
        <v>0</v>
      </c>
      <c r="N123" s="52" t="s">
        <v>255</v>
      </c>
    </row>
    <row r="124" customFormat="false" ht="18" hidden="false" customHeight="true" outlineLevel="1" collapsed="false">
      <c r="A124" s="40" t="s">
        <v>217</v>
      </c>
      <c r="B124" s="41" t="str">
        <f aca="false">"Window Coverings"&amp;IF($K124="Y","   (Allowance)","")</f>
        <v>Window Coverings   (Allowance)</v>
      </c>
      <c r="C124" s="41"/>
      <c r="D124" s="41"/>
      <c r="E124" s="41"/>
      <c r="F124" s="42" t="n">
        <f aca="false">SUM(E125)</f>
        <v>0</v>
      </c>
      <c r="K124" s="43" t="s">
        <v>240</v>
      </c>
      <c r="O124" s="44" t="s">
        <v>242</v>
      </c>
    </row>
    <row r="125" customFormat="false" ht="15" hidden="false" customHeight="true" outlineLevel="2" collapsed="false">
      <c r="A125" s="45"/>
      <c r="B125" s="46" t="s">
        <v>348</v>
      </c>
      <c r="C125" s="47" t="n">
        <f aca="false">IF($L125="Y",0,H125*(1+I125))</f>
        <v>0</v>
      </c>
      <c r="D125" s="47" t="n">
        <f aca="false">IF(J125="Y",C125*Settings!$C$34,0)</f>
        <v>0</v>
      </c>
      <c r="E125" s="47" t="n">
        <f aca="false">C125+D125</f>
        <v>0</v>
      </c>
      <c r="F125" s="48"/>
      <c r="H125" s="49" t="n">
        <v>0</v>
      </c>
      <c r="I125" s="57" t="n">
        <f aca="false">Settings!$C$35</f>
        <v>0.2</v>
      </c>
      <c r="J125" s="43" t="s">
        <v>240</v>
      </c>
      <c r="L125" s="43" t="s">
        <v>242</v>
      </c>
      <c r="M125" s="51" t="n">
        <f aca="false">Settings!$C$27*180</f>
        <v>3240</v>
      </c>
      <c r="N125" s="52" t="s">
        <v>349</v>
      </c>
    </row>
    <row r="126" customFormat="false" ht="24" hidden="false" customHeight="true" outlineLevel="0" collapsed="false">
      <c r="A126" s="25" t="s">
        <v>220</v>
      </c>
      <c r="B126" s="26" t="s">
        <v>221</v>
      </c>
      <c r="C126" s="26"/>
      <c r="D126" s="26"/>
      <c r="E126" s="26"/>
      <c r="F126" s="39" t="n">
        <f aca="false">F127</f>
        <v>0</v>
      </c>
    </row>
    <row r="127" customFormat="false" ht="18" hidden="false" customHeight="true" outlineLevel="1" collapsed="false">
      <c r="A127" s="40" t="s">
        <v>222</v>
      </c>
      <c r="B127" s="41" t="str">
        <f aca="false">"Final Grade &amp; Landscaping"&amp;IF($K127="Y","   (Allowance)","")</f>
        <v>Final Grade &amp; Landscaping</v>
      </c>
      <c r="C127" s="41"/>
      <c r="D127" s="41"/>
      <c r="E127" s="41"/>
      <c r="F127" s="42" t="n">
        <f aca="false">SUM(E128)</f>
        <v>0</v>
      </c>
      <c r="K127" s="43" t="s">
        <v>242</v>
      </c>
      <c r="O127" s="44" t="s">
        <v>240</v>
      </c>
    </row>
    <row r="128" customFormat="false" ht="15" hidden="false" customHeight="true" outlineLevel="2" collapsed="false">
      <c r="A128" s="45"/>
      <c r="B128" s="46" t="s">
        <v>350</v>
      </c>
      <c r="C128" s="47" t="n">
        <f aca="false">IF($L128="Y",0,H128*(1+I128))</f>
        <v>0</v>
      </c>
      <c r="D128" s="47" t="n">
        <f aca="false">IF(J128="Y",C128*Settings!$C$34,0)</f>
        <v>0</v>
      </c>
      <c r="E128" s="47" t="n">
        <f aca="false">C128+D128</f>
        <v>0</v>
      </c>
      <c r="F128" s="48"/>
      <c r="H128" s="49" t="n">
        <v>0</v>
      </c>
      <c r="I128" s="57" t="n">
        <f aca="false">Settings!$C$35</f>
        <v>0.2</v>
      </c>
      <c r="J128" s="43" t="s">
        <v>240</v>
      </c>
      <c r="L128" s="43" t="s">
        <v>242</v>
      </c>
      <c r="M128" s="51" t="n">
        <f aca="false">3000</f>
        <v>3000</v>
      </c>
      <c r="N128" s="52" t="s">
        <v>351</v>
      </c>
    </row>
    <row r="130" customFormat="false" ht="15" hidden="false" customHeight="true" outlineLevel="0" collapsed="false">
      <c r="B130" s="59" t="s">
        <v>352</v>
      </c>
      <c r="C130" s="60" t="n">
        <f aca="false">SUM(C6:C128)</f>
        <v>0</v>
      </c>
      <c r="D130" s="60" t="n">
        <f aca="false">SUM(D6:D128)</f>
        <v>0</v>
      </c>
      <c r="E130" s="60" t="n">
        <f aca="false">SUM(E6:E128)</f>
        <v>0</v>
      </c>
      <c r="H130" s="61" t="s">
        <v>353</v>
      </c>
      <c r="I130" s="62" t="n">
        <f aca="false">SUMPRODUCT((L6:L128&lt;&gt;"Y")*H6:H128)</f>
        <v>0</v>
      </c>
      <c r="M130" s="63" t="n">
        <f aca="false">SUM(M6:M128)</f>
        <v>330591.922602976</v>
      </c>
    </row>
    <row r="131" customFormat="false" ht="15" hidden="false" customHeight="true" outlineLevel="0" collapsed="false">
      <c r="D131" s="64" t="s">
        <v>354</v>
      </c>
      <c r="E131" s="65" t="n">
        <f aca="false">C130</f>
        <v>0</v>
      </c>
      <c r="H131" s="61" t="s">
        <v>355</v>
      </c>
      <c r="I131" s="62" t="n">
        <f aca="false">C130-I130</f>
        <v>0</v>
      </c>
    </row>
    <row r="132" customFormat="false" ht="15" hidden="false" customHeight="true" outlineLevel="0" collapsed="false">
      <c r="D132" s="64" t="s">
        <v>229</v>
      </c>
      <c r="E132" s="65" t="n">
        <f aca="false">D130</f>
        <v>0</v>
      </c>
      <c r="H132" s="61" t="s">
        <v>356</v>
      </c>
      <c r="I132" s="66" t="str">
        <f aca="false">IF(C130=0,"—",(C130-I130)/C130)</f>
        <v>—</v>
      </c>
    </row>
    <row r="133" customFormat="false" ht="15.75" hidden="false" customHeight="true" outlineLevel="0" collapsed="false">
      <c r="D133" s="67" t="s">
        <v>357</v>
      </c>
      <c r="E133" s="68" t="n">
        <f aca="false">E130</f>
        <v>0</v>
      </c>
    </row>
    <row r="134" customFormat="false" ht="15" hidden="false" customHeight="true" outlineLevel="0" collapsed="false">
      <c r="D134" s="64" t="s">
        <v>358</v>
      </c>
      <c r="E134" s="65" t="n">
        <f aca="false">IF(Settings!$C$13=0,"—",E130/Settings!$C$13)</f>
        <v>0</v>
      </c>
    </row>
  </sheetData>
  <mergeCells count="58">
    <mergeCell ref="D1:F1"/>
    <mergeCell ref="D2:F2"/>
    <mergeCell ref="D3:F3"/>
    <mergeCell ref="H4:N4"/>
    <mergeCell ref="B6:E6"/>
    <mergeCell ref="B7:E7"/>
    <mergeCell ref="B9:E9"/>
    <mergeCell ref="B12:E12"/>
    <mergeCell ref="B17:E17"/>
    <mergeCell ref="B21:E21"/>
    <mergeCell ref="B23:E23"/>
    <mergeCell ref="B27:E27"/>
    <mergeCell ref="B28:E28"/>
    <mergeCell ref="B31:E31"/>
    <mergeCell ref="B32:E32"/>
    <mergeCell ref="B38:E38"/>
    <mergeCell ref="B41:E41"/>
    <mergeCell ref="B42:E42"/>
    <mergeCell ref="B44:E44"/>
    <mergeCell ref="B46:E46"/>
    <mergeCell ref="B49:E49"/>
    <mergeCell ref="B52:E52"/>
    <mergeCell ref="B53:E53"/>
    <mergeCell ref="B55:E55"/>
    <mergeCell ref="B59:E59"/>
    <mergeCell ref="B62:E62"/>
    <mergeCell ref="B64:E64"/>
    <mergeCell ref="B66:E66"/>
    <mergeCell ref="B68:E68"/>
    <mergeCell ref="B72:E72"/>
    <mergeCell ref="B73:E73"/>
    <mergeCell ref="B75:E75"/>
    <mergeCell ref="B77:E77"/>
    <mergeCell ref="B78:E78"/>
    <mergeCell ref="B80:E80"/>
    <mergeCell ref="B81:E81"/>
    <mergeCell ref="B85:E85"/>
    <mergeCell ref="B87:E87"/>
    <mergeCell ref="B88:E88"/>
    <mergeCell ref="B90:E90"/>
    <mergeCell ref="B91:E91"/>
    <mergeCell ref="B93:E93"/>
    <mergeCell ref="B95:E95"/>
    <mergeCell ref="B96:E96"/>
    <mergeCell ref="B99:E99"/>
    <mergeCell ref="B102:E102"/>
    <mergeCell ref="B103:E103"/>
    <mergeCell ref="B108:E108"/>
    <mergeCell ref="B111:E111"/>
    <mergeCell ref="B112:E112"/>
    <mergeCell ref="B114:E114"/>
    <mergeCell ref="B116:E116"/>
    <mergeCell ref="B118:E118"/>
    <mergeCell ref="B121:E121"/>
    <mergeCell ref="B122:E122"/>
    <mergeCell ref="B124:E124"/>
    <mergeCell ref="B126:E126"/>
    <mergeCell ref="B127:E127"/>
  </mergeCells>
  <conditionalFormatting sqref="A6:F128">
    <cfRule type="expression" priority="2" aboveAverage="0" equalAverage="0" bottom="0" percent="0" rank="0" text="" dxfId="0">
      <formula>$L6="Y"</formula>
    </cfRule>
  </conditionalFormatting>
  <conditionalFormatting sqref="N6:N128">
    <cfRule type="expression" priority="3" aboveAverage="0" equalAverage="0" bottom="0" percent="0" rank="0" text="" dxfId="1">
      <formula>ISNUMBER(SEARCH("Prior project",$N6))</formula>
    </cfRule>
  </conditionalFormatting>
  <dataValidations count="4">
    <dataValidation allowBlank="true" errorStyle="stop" operator="between" showDropDown="false" showErrorMessage="false" showInputMessage="false" sqref="J6:J128" type="list">
      <formula1>"Y,N"</formula1>
      <formula2>0</formula2>
    </dataValidation>
    <dataValidation allowBlank="true" errorStyle="stop" operator="between" showDropDown="false" showErrorMessage="false" showInputMessage="false" sqref="K6:K128" type="list">
      <formula1>"Y,N"</formula1>
      <formula2>0</formula2>
    </dataValidation>
    <dataValidation allowBlank="true" errorStyle="stop" operator="between" showDropDown="false" showErrorMessage="false" showInputMessage="false" sqref="L6:L128" type="list">
      <formula1>"Y,N"</formula1>
      <formula2>0</formula2>
    </dataValidation>
    <dataValidation allowBlank="true" errorStyle="stop" operator="between" showDropDown="false" showErrorMessage="false" showInputMessage="false" sqref="O6:O129" type="list">
      <formula1>"Y,N"</formula1>
      <formula2>0</formula2>
    </dataValidation>
  </dataValidations>
  <hyperlinks>
    <hyperlink ref="A7" location="'Specifications'!A7" display="0110"/>
    <hyperlink ref="A9" location="'Specifications'!A9" display="0120"/>
    <hyperlink ref="A12" location="'Specifications'!A11" display="0130"/>
    <hyperlink ref="A17" location="'Specifications'!A13" display="0140"/>
    <hyperlink ref="A21" location="'Specifications'!A15" display="0150"/>
    <hyperlink ref="A23" location="'Specifications'!A17" display="0190"/>
    <hyperlink ref="A28" location="'Specifications'!A20" display="0210"/>
    <hyperlink ref="A32" location="'Specifications'!A23" display="0310"/>
    <hyperlink ref="A38" location="'Specifications'!A25" display="0320"/>
    <hyperlink ref="A42" location="'Specifications'!A28" display="0410"/>
    <hyperlink ref="A44" location="'Specifications'!A30" display="0420"/>
    <hyperlink ref="A46" location="'Specifications'!A32" display="0430"/>
    <hyperlink ref="A49" location="'Specifications'!A34" display="0440"/>
    <hyperlink ref="A53" location="'Specifications'!A37" display="0510"/>
    <hyperlink ref="A55" location="'Specifications'!A39" display="0520"/>
    <hyperlink ref="A59" location="'Specifications'!A41" display="0530"/>
    <hyperlink ref="A62" location="'Specifications'!A43" display="0540"/>
    <hyperlink ref="A64" location="'Specifications'!A45" display="0550"/>
    <hyperlink ref="A66" location="'Specifications'!A47" display="0560"/>
    <hyperlink ref="A68" location="'Specifications'!A49" display="0570"/>
    <hyperlink ref="A73" location="'Specifications'!A52" display="0610"/>
    <hyperlink ref="A75" location="'Specifications'!A54" display="0620"/>
    <hyperlink ref="A78" location="'Specifications'!A57" display="0710"/>
    <hyperlink ref="A81" location="'Specifications'!A60" display="0810"/>
    <hyperlink ref="A85" location="'Specifications'!A62" display="0820"/>
    <hyperlink ref="A88" location="'Specifications'!A65" display="0910"/>
    <hyperlink ref="A91" location="'Specifications'!A68" display="1010"/>
    <hyperlink ref="A93" location="'Specifications'!A70" display="1020"/>
    <hyperlink ref="A95" location="'Specifications'!A72" display="1030"/>
    <hyperlink ref="A96" location="'Specifications'!A74" display="1040"/>
    <hyperlink ref="A99" location="'Specifications'!A76" display="1050"/>
    <hyperlink ref="A103" location="'Specifications'!A79" display="1110"/>
    <hyperlink ref="A108" location="'Specifications'!A81" display="1120"/>
    <hyperlink ref="A112" location="'Specifications'!A84" display="1210"/>
    <hyperlink ref="A114" location="'Specifications'!A86" display="1220"/>
    <hyperlink ref="A116" location="'Specifications'!A88" display="1230"/>
    <hyperlink ref="A118" location="'Specifications'!A90" display="1240"/>
    <hyperlink ref="A122" location="'Specifications'!A93" display="1310"/>
    <hyperlink ref="A124" location="'Specifications'!A95" display="1320"/>
    <hyperlink ref="A127" location="'Specifications'!A98" display="1510"/>
  </hyperlinks>
  <printOptions headings="false" gridLines="false" gridLinesSet="true" horizontalCentered="true" verticalCentered="false"/>
  <pageMargins left="0.45" right="0.45" top="0.6" bottom="0.6"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&amp;LRidgeline Construction&amp;CPage &amp;P of &amp;N&amp;R&amp;D</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8"/>
    <col collapsed="false" customWidth="true" hidden="false" outlineLevel="0" max="3" min="3" style="1" width="34"/>
    <col collapsed="false" customWidth="true" hidden="false" outlineLevel="0" max="4" min="4" style="1" width="9"/>
    <col collapsed="false" customWidth="true" hidden="false" outlineLevel="0" max="7" min="5" style="1" width="14"/>
    <col collapsed="false" customWidth="true" hidden="false" outlineLevel="0" max="8" min="8" style="1" width="26"/>
  </cols>
  <sheetData>
    <row r="1" customFormat="false" ht="42" hidden="false" customHeight="true" outlineLevel="0" collapsed="false">
      <c r="D1" s="31" t="s">
        <v>359</v>
      </c>
      <c r="E1" s="31"/>
      <c r="F1" s="31"/>
      <c r="G1" s="31"/>
      <c r="H1" s="31"/>
    </row>
    <row r="2" customFormat="false" ht="15.75" hidden="false" customHeight="true" outlineLevel="0" collapsed="false">
      <c r="D2" s="32" t="str">
        <f aca="false">Settings!C40&amp;"   •   "&amp;Settings!C41</f>
        <v>PO Box 516, Longview, WA 98632   •   360-200-1716</v>
      </c>
      <c r="E2" s="32"/>
      <c r="F2" s="32"/>
      <c r="G2" s="32"/>
      <c r="H2" s="32"/>
    </row>
    <row r="3" customFormat="false" ht="15" hidden="false" customHeight="true" outlineLevel="0" collapsed="false">
      <c r="D3" s="33" t="str">
        <f aca="false">"Project:  "&amp;Settings!C8&amp;"        Estimate  "&amp;Settings!C10</f>
        <v>Project:  Truesdell SFD        Estimate  EST-1001</v>
      </c>
      <c r="E3" s="33"/>
      <c r="F3" s="33"/>
      <c r="G3" s="33"/>
      <c r="H3" s="33"/>
    </row>
    <row r="4" customFormat="false" ht="15" hidden="false" customHeight="true" outlineLevel="0" collapsed="false">
      <c r="A4" s="69" t="s">
        <v>360</v>
      </c>
      <c r="B4" s="69"/>
      <c r="C4" s="69"/>
      <c r="D4" s="69"/>
      <c r="E4" s="69"/>
      <c r="F4" s="69"/>
      <c r="G4" s="69"/>
      <c r="H4" s="69"/>
    </row>
    <row r="5" customFormat="false" ht="15" hidden="false" customHeight="true" outlineLevel="0" collapsed="false">
      <c r="A5" s="70" t="s">
        <v>77</v>
      </c>
      <c r="B5" s="71" t="s">
        <v>361</v>
      </c>
      <c r="C5" s="71" t="s">
        <v>362</v>
      </c>
      <c r="D5" s="70" t="s">
        <v>235</v>
      </c>
      <c r="E5" s="72" t="s">
        <v>363</v>
      </c>
      <c r="F5" s="72" t="s">
        <v>364</v>
      </c>
      <c r="G5" s="72" t="s">
        <v>365</v>
      </c>
      <c r="H5" s="71" t="s">
        <v>366</v>
      </c>
    </row>
    <row r="6" customFormat="false" ht="15" hidden="false" customHeight="true" outlineLevel="0" collapsed="false">
      <c r="A6" s="73" t="str">
        <f aca="false">Estimate!A7</f>
        <v>0110</v>
      </c>
      <c r="B6" s="74" t="s">
        <v>80</v>
      </c>
      <c r="C6" s="74" t="s">
        <v>367</v>
      </c>
      <c r="D6" s="73" t="str">
        <f aca="false">Estimate!K7</f>
        <v>Y</v>
      </c>
      <c r="E6" s="75" t="n">
        <f aca="false">Estimate!F7</f>
        <v>0</v>
      </c>
      <c r="F6" s="76"/>
      <c r="G6" s="77" t="str">
        <f aca="false">IF(F6="","",E6-F6)</f>
        <v/>
      </c>
      <c r="H6" s="78"/>
    </row>
    <row r="7" customFormat="false" ht="15" hidden="false" customHeight="true" outlineLevel="0" collapsed="false">
      <c r="A7" s="73" t="str">
        <f aca="false">Estimate!A9</f>
        <v>0120</v>
      </c>
      <c r="B7" s="74" t="s">
        <v>80</v>
      </c>
      <c r="C7" s="74" t="s">
        <v>368</v>
      </c>
      <c r="D7" s="73" t="str">
        <f aca="false">Estimate!K9</f>
        <v>Y</v>
      </c>
      <c r="E7" s="75" t="n">
        <f aca="false">Estimate!F9</f>
        <v>0</v>
      </c>
      <c r="F7" s="76"/>
      <c r="G7" s="77" t="str">
        <f aca="false">IF(F7="","",E7-F7)</f>
        <v/>
      </c>
      <c r="H7" s="78"/>
    </row>
    <row r="8" customFormat="false" ht="15" hidden="false" customHeight="true" outlineLevel="0" collapsed="false">
      <c r="A8" s="73" t="str">
        <f aca="false">Estimate!A12</f>
        <v>0130</v>
      </c>
      <c r="B8" s="74" t="s">
        <v>80</v>
      </c>
      <c r="C8" s="74" t="s">
        <v>247</v>
      </c>
      <c r="D8" s="73" t="str">
        <f aca="false">Estimate!K12</f>
        <v>Y</v>
      </c>
      <c r="E8" s="75" t="n">
        <f aca="false">Estimate!F12</f>
        <v>0</v>
      </c>
      <c r="F8" s="76"/>
      <c r="G8" s="77" t="str">
        <f aca="false">IF(F8="","",E8-F8)</f>
        <v/>
      </c>
      <c r="H8" s="78"/>
    </row>
    <row r="9" customFormat="false" ht="15" hidden="false" customHeight="true" outlineLevel="0" collapsed="false">
      <c r="A9" s="73" t="str">
        <f aca="false">Estimate!A17</f>
        <v>0140</v>
      </c>
      <c r="B9" s="74" t="s">
        <v>80</v>
      </c>
      <c r="C9" s="74" t="s">
        <v>369</v>
      </c>
      <c r="D9" s="73" t="str">
        <f aca="false">Estimate!K17</f>
        <v>Y</v>
      </c>
      <c r="E9" s="75" t="n">
        <f aca="false">Estimate!F17</f>
        <v>0</v>
      </c>
      <c r="F9" s="76"/>
      <c r="G9" s="77" t="str">
        <f aca="false">IF(F9="","",E9-F9)</f>
        <v/>
      </c>
      <c r="H9" s="78"/>
    </row>
    <row r="10" customFormat="false" ht="15" hidden="false" customHeight="true" outlineLevel="0" collapsed="false">
      <c r="A10" s="73" t="str">
        <f aca="false">Estimate!A21</f>
        <v>0150</v>
      </c>
      <c r="B10" s="74" t="s">
        <v>80</v>
      </c>
      <c r="C10" s="74" t="s">
        <v>370</v>
      </c>
      <c r="D10" s="73" t="str">
        <f aca="false">Estimate!K21</f>
        <v>Y</v>
      </c>
      <c r="E10" s="75" t="n">
        <f aca="false">Estimate!F21</f>
        <v>0</v>
      </c>
      <c r="F10" s="76"/>
      <c r="G10" s="77" t="str">
        <f aca="false">IF(F10="","",E10-F10)</f>
        <v/>
      </c>
      <c r="H10" s="78"/>
    </row>
    <row r="11" customFormat="false" ht="15" hidden="false" customHeight="true" outlineLevel="0" collapsed="false">
      <c r="A11" s="73" t="str">
        <f aca="false">Estimate!A23</f>
        <v>0190</v>
      </c>
      <c r="B11" s="74" t="s">
        <v>80</v>
      </c>
      <c r="C11" s="74" t="s">
        <v>97</v>
      </c>
      <c r="D11" s="73" t="str">
        <f aca="false">Estimate!K23</f>
        <v>N</v>
      </c>
      <c r="E11" s="75" t="n">
        <f aca="false">Estimate!F23</f>
        <v>0</v>
      </c>
      <c r="F11" s="76"/>
      <c r="G11" s="77" t="str">
        <f aca="false">IF(F11="","",E11-F11)</f>
        <v/>
      </c>
      <c r="H11" s="78"/>
    </row>
    <row r="12" customFormat="false" ht="15" hidden="false" customHeight="true" outlineLevel="0" collapsed="false">
      <c r="A12" s="73" t="str">
        <f aca="false">Estimate!A28</f>
        <v>0210</v>
      </c>
      <c r="B12" s="74" t="s">
        <v>100</v>
      </c>
      <c r="C12" s="74" t="s">
        <v>102</v>
      </c>
      <c r="D12" s="73" t="str">
        <f aca="false">Estimate!K28</f>
        <v>N</v>
      </c>
      <c r="E12" s="75" t="n">
        <f aca="false">Estimate!F28</f>
        <v>0</v>
      </c>
      <c r="F12" s="76"/>
      <c r="G12" s="77" t="str">
        <f aca="false">IF(F12="","",E12-F12)</f>
        <v/>
      </c>
      <c r="H12" s="78"/>
    </row>
    <row r="13" customFormat="false" ht="15" hidden="false" customHeight="true" outlineLevel="0" collapsed="false">
      <c r="A13" s="73" t="str">
        <f aca="false">Estimate!A32</f>
        <v>0310</v>
      </c>
      <c r="B13" s="74" t="s">
        <v>105</v>
      </c>
      <c r="C13" s="74" t="s">
        <v>371</v>
      </c>
      <c r="D13" s="73" t="str">
        <f aca="false">Estimate!K32</f>
        <v>Y</v>
      </c>
      <c r="E13" s="75" t="n">
        <f aca="false">Estimate!F32</f>
        <v>0</v>
      </c>
      <c r="F13" s="76"/>
      <c r="G13" s="77" t="str">
        <f aca="false">IF(F13="","",E13-F13)</f>
        <v/>
      </c>
      <c r="H13" s="78"/>
    </row>
    <row r="14" customFormat="false" ht="15" hidden="false" customHeight="true" outlineLevel="0" collapsed="false">
      <c r="A14" s="73" t="str">
        <f aca="false">Estimate!A38</f>
        <v>0320</v>
      </c>
      <c r="B14" s="74" t="s">
        <v>105</v>
      </c>
      <c r="C14" s="74" t="s">
        <v>110</v>
      </c>
      <c r="D14" s="73" t="str">
        <f aca="false">Estimate!K38</f>
        <v>N</v>
      </c>
      <c r="E14" s="75" t="n">
        <f aca="false">Estimate!F38</f>
        <v>0</v>
      </c>
      <c r="F14" s="76"/>
      <c r="G14" s="77" t="str">
        <f aca="false">IF(F14="","",E14-F14)</f>
        <v/>
      </c>
      <c r="H14" s="78"/>
    </row>
    <row r="15" customFormat="false" ht="15" hidden="false" customHeight="true" outlineLevel="0" collapsed="false">
      <c r="A15" s="73" t="str">
        <f aca="false">Estimate!A42</f>
        <v>0410</v>
      </c>
      <c r="B15" s="74" t="s">
        <v>113</v>
      </c>
      <c r="C15" s="74" t="s">
        <v>372</v>
      </c>
      <c r="D15" s="73" t="str">
        <f aca="false">Estimate!K42</f>
        <v>Y</v>
      </c>
      <c r="E15" s="75" t="n">
        <f aca="false">Estimate!F42</f>
        <v>0</v>
      </c>
      <c r="F15" s="76"/>
      <c r="G15" s="77" t="str">
        <f aca="false">IF(F15="","",E15-F15)</f>
        <v/>
      </c>
      <c r="H15" s="78"/>
    </row>
    <row r="16" customFormat="false" ht="15" hidden="false" customHeight="true" outlineLevel="0" collapsed="false">
      <c r="A16" s="73" t="str">
        <f aca="false">Estimate!A44</f>
        <v>0420</v>
      </c>
      <c r="B16" s="74" t="s">
        <v>113</v>
      </c>
      <c r="C16" s="74" t="s">
        <v>118</v>
      </c>
      <c r="D16" s="73" t="str">
        <f aca="false">Estimate!K44</f>
        <v>N</v>
      </c>
      <c r="E16" s="75" t="n">
        <f aca="false">Estimate!F44</f>
        <v>0</v>
      </c>
      <c r="F16" s="76"/>
      <c r="G16" s="77" t="str">
        <f aca="false">IF(F16="","",E16-F16)</f>
        <v/>
      </c>
      <c r="H16" s="78"/>
    </row>
    <row r="17" customFormat="false" ht="15" hidden="false" customHeight="true" outlineLevel="0" collapsed="false">
      <c r="A17" s="73" t="str">
        <f aca="false">Estimate!A46</f>
        <v>0430</v>
      </c>
      <c r="B17" s="74" t="s">
        <v>113</v>
      </c>
      <c r="C17" s="74" t="s">
        <v>121</v>
      </c>
      <c r="D17" s="73" t="str">
        <f aca="false">Estimate!K46</f>
        <v>N</v>
      </c>
      <c r="E17" s="75" t="n">
        <f aca="false">Estimate!F46</f>
        <v>0</v>
      </c>
      <c r="F17" s="76"/>
      <c r="G17" s="77" t="str">
        <f aca="false">IF(F17="","",E17-F17)</f>
        <v/>
      </c>
      <c r="H17" s="78"/>
    </row>
    <row r="18" customFormat="false" ht="15" hidden="false" customHeight="true" outlineLevel="0" collapsed="false">
      <c r="A18" s="73" t="str">
        <f aca="false">Estimate!A49</f>
        <v>0440</v>
      </c>
      <c r="B18" s="74" t="s">
        <v>113</v>
      </c>
      <c r="C18" s="74" t="s">
        <v>281</v>
      </c>
      <c r="D18" s="73" t="str">
        <f aca="false">Estimate!K49</f>
        <v>Y</v>
      </c>
      <c r="E18" s="75" t="n">
        <f aca="false">Estimate!F49</f>
        <v>0</v>
      </c>
      <c r="F18" s="76"/>
      <c r="G18" s="77" t="str">
        <f aca="false">IF(F18="","",E18-F18)</f>
        <v/>
      </c>
      <c r="H18" s="78"/>
    </row>
    <row r="19" customFormat="false" ht="15" hidden="false" customHeight="true" outlineLevel="0" collapsed="false">
      <c r="A19" s="73" t="str">
        <f aca="false">Estimate!A53</f>
        <v>0510</v>
      </c>
      <c r="B19" s="74" t="s">
        <v>127</v>
      </c>
      <c r="C19" s="74" t="s">
        <v>129</v>
      </c>
      <c r="D19" s="73" t="str">
        <f aca="false">Estimate!K53</f>
        <v>N</v>
      </c>
      <c r="E19" s="75" t="n">
        <f aca="false">Estimate!F53</f>
        <v>0</v>
      </c>
      <c r="F19" s="76"/>
      <c r="G19" s="77" t="str">
        <f aca="false">IF(F19="","",E19-F19)</f>
        <v/>
      </c>
      <c r="H19" s="78"/>
    </row>
    <row r="20" customFormat="false" ht="15" hidden="false" customHeight="true" outlineLevel="0" collapsed="false">
      <c r="A20" s="73" t="str">
        <f aca="false">Estimate!A55</f>
        <v>0520</v>
      </c>
      <c r="B20" s="74" t="s">
        <v>127</v>
      </c>
      <c r="C20" s="74" t="s">
        <v>132</v>
      </c>
      <c r="D20" s="73" t="str">
        <f aca="false">Estimate!K55</f>
        <v>N</v>
      </c>
      <c r="E20" s="75" t="n">
        <f aca="false">Estimate!F55</f>
        <v>0</v>
      </c>
      <c r="F20" s="76"/>
      <c r="G20" s="77" t="str">
        <f aca="false">IF(F20="","",E20-F20)</f>
        <v/>
      </c>
      <c r="H20" s="78"/>
    </row>
    <row r="21" customFormat="false" ht="15" hidden="false" customHeight="true" outlineLevel="0" collapsed="false">
      <c r="A21" s="73" t="str">
        <f aca="false">Estimate!A59</f>
        <v>0530</v>
      </c>
      <c r="B21" s="74" t="s">
        <v>127</v>
      </c>
      <c r="C21" s="74" t="s">
        <v>373</v>
      </c>
      <c r="D21" s="73" t="str">
        <f aca="false">Estimate!K59</f>
        <v>Y</v>
      </c>
      <c r="E21" s="75" t="n">
        <f aca="false">Estimate!F59</f>
        <v>0</v>
      </c>
      <c r="F21" s="76"/>
      <c r="G21" s="77" t="str">
        <f aca="false">IF(F21="","",E21-F21)</f>
        <v/>
      </c>
      <c r="H21" s="78"/>
    </row>
    <row r="22" customFormat="false" ht="15" hidden="false" customHeight="true" outlineLevel="0" collapsed="false">
      <c r="A22" s="73" t="str">
        <f aca="false">Estimate!A62</f>
        <v>0540</v>
      </c>
      <c r="B22" s="74" t="s">
        <v>127</v>
      </c>
      <c r="C22" s="74" t="s">
        <v>138</v>
      </c>
      <c r="D22" s="73" t="str">
        <f aca="false">Estimate!K62</f>
        <v>N</v>
      </c>
      <c r="E22" s="75" t="n">
        <f aca="false">Estimate!F62</f>
        <v>0</v>
      </c>
      <c r="F22" s="76"/>
      <c r="G22" s="77" t="str">
        <f aca="false">IF(F22="","",E22-F22)</f>
        <v/>
      </c>
      <c r="H22" s="78"/>
    </row>
    <row r="23" customFormat="false" ht="15" hidden="false" customHeight="true" outlineLevel="0" collapsed="false">
      <c r="A23" s="73" t="str">
        <f aca="false">Estimate!A64</f>
        <v>0550</v>
      </c>
      <c r="B23" s="74" t="s">
        <v>127</v>
      </c>
      <c r="C23" s="74" t="s">
        <v>141</v>
      </c>
      <c r="D23" s="73" t="str">
        <f aca="false">Estimate!K64</f>
        <v>N</v>
      </c>
      <c r="E23" s="75" t="n">
        <f aca="false">Estimate!F64</f>
        <v>0</v>
      </c>
      <c r="F23" s="76"/>
      <c r="G23" s="77" t="str">
        <f aca="false">IF(F23="","",E23-F23)</f>
        <v/>
      </c>
      <c r="H23" s="78"/>
    </row>
    <row r="24" customFormat="false" ht="15" hidden="false" customHeight="true" outlineLevel="0" collapsed="false">
      <c r="A24" s="73" t="str">
        <f aca="false">Estimate!A66</f>
        <v>0560</v>
      </c>
      <c r="B24" s="74" t="s">
        <v>127</v>
      </c>
      <c r="C24" s="74" t="s">
        <v>144</v>
      </c>
      <c r="D24" s="73" t="str">
        <f aca="false">Estimate!K66</f>
        <v>N</v>
      </c>
      <c r="E24" s="75" t="n">
        <f aca="false">Estimate!F66</f>
        <v>0</v>
      </c>
      <c r="F24" s="76"/>
      <c r="G24" s="77" t="str">
        <f aca="false">IF(F24="","",E24-F24)</f>
        <v/>
      </c>
      <c r="H24" s="78"/>
    </row>
    <row r="25" customFormat="false" ht="15" hidden="false" customHeight="true" outlineLevel="0" collapsed="false">
      <c r="A25" s="73" t="str">
        <f aca="false">Estimate!A68</f>
        <v>0570</v>
      </c>
      <c r="B25" s="74" t="s">
        <v>127</v>
      </c>
      <c r="C25" s="74" t="s">
        <v>374</v>
      </c>
      <c r="D25" s="73" t="str">
        <f aca="false">Estimate!K68</f>
        <v>Y</v>
      </c>
      <c r="E25" s="75" t="n">
        <f aca="false">Estimate!F68</f>
        <v>0</v>
      </c>
      <c r="F25" s="76"/>
      <c r="G25" s="77" t="str">
        <f aca="false">IF(F25="","",E25-F25)</f>
        <v/>
      </c>
      <c r="H25" s="78"/>
    </row>
    <row r="26" customFormat="false" ht="15" hidden="false" customHeight="true" outlineLevel="0" collapsed="false">
      <c r="A26" s="73" t="str">
        <f aca="false">Estimate!A73</f>
        <v>0610</v>
      </c>
      <c r="B26" s="74" t="s">
        <v>150</v>
      </c>
      <c r="C26" s="74" t="s">
        <v>150</v>
      </c>
      <c r="D26" s="73" t="str">
        <f aca="false">Estimate!K73</f>
        <v>N</v>
      </c>
      <c r="E26" s="75" t="n">
        <f aca="false">Estimate!F73</f>
        <v>0</v>
      </c>
      <c r="F26" s="76"/>
      <c r="G26" s="77" t="str">
        <f aca="false">IF(F26="","",E26-F26)</f>
        <v/>
      </c>
      <c r="H26" s="78"/>
    </row>
    <row r="27" customFormat="false" ht="15" hidden="false" customHeight="true" outlineLevel="0" collapsed="false">
      <c r="A27" s="73" t="str">
        <f aca="false">Estimate!A75</f>
        <v>0620</v>
      </c>
      <c r="B27" s="74" t="s">
        <v>150</v>
      </c>
      <c r="C27" s="74" t="s">
        <v>375</v>
      </c>
      <c r="D27" s="73" t="str">
        <f aca="false">Estimate!K75</f>
        <v>Y</v>
      </c>
      <c r="E27" s="75" t="n">
        <f aca="false">Estimate!F75</f>
        <v>0</v>
      </c>
      <c r="F27" s="76"/>
      <c r="G27" s="77" t="str">
        <f aca="false">IF(F27="","",E27-F27)</f>
        <v/>
      </c>
      <c r="H27" s="78"/>
    </row>
    <row r="28" customFormat="false" ht="15" hidden="false" customHeight="true" outlineLevel="0" collapsed="false">
      <c r="A28" s="73" t="str">
        <f aca="false">Estimate!A78</f>
        <v>0710</v>
      </c>
      <c r="B28" s="74" t="s">
        <v>157</v>
      </c>
      <c r="C28" s="74" t="s">
        <v>157</v>
      </c>
      <c r="D28" s="73" t="str">
        <f aca="false">Estimate!K78</f>
        <v>Y</v>
      </c>
      <c r="E28" s="75" t="n">
        <f aca="false">Estimate!F78</f>
        <v>0</v>
      </c>
      <c r="F28" s="76"/>
      <c r="G28" s="77" t="str">
        <f aca="false">IF(F28="","",E28-F28)</f>
        <v/>
      </c>
      <c r="H28" s="78"/>
    </row>
    <row r="29" customFormat="false" ht="15" hidden="false" customHeight="true" outlineLevel="0" collapsed="false">
      <c r="A29" s="73" t="str">
        <f aca="false">Estimate!A81</f>
        <v>0810</v>
      </c>
      <c r="B29" s="74" t="s">
        <v>162</v>
      </c>
      <c r="C29" s="74" t="s">
        <v>162</v>
      </c>
      <c r="D29" s="73" t="str">
        <f aca="false">Estimate!K81</f>
        <v>Y</v>
      </c>
      <c r="E29" s="75" t="n">
        <f aca="false">Estimate!F81</f>
        <v>0</v>
      </c>
      <c r="F29" s="76"/>
      <c r="G29" s="77" t="str">
        <f aca="false">IF(F29="","",E29-F29)</f>
        <v/>
      </c>
      <c r="H29" s="78"/>
    </row>
    <row r="30" customFormat="false" ht="15" hidden="false" customHeight="true" outlineLevel="0" collapsed="false">
      <c r="A30" s="73" t="str">
        <f aca="false">Estimate!A85</f>
        <v>0820</v>
      </c>
      <c r="B30" s="74" t="s">
        <v>162</v>
      </c>
      <c r="C30" s="74" t="s">
        <v>376</v>
      </c>
      <c r="D30" s="73" t="str">
        <f aca="false">Estimate!K85</f>
        <v>Y</v>
      </c>
      <c r="E30" s="75" t="n">
        <f aca="false">Estimate!F85</f>
        <v>0</v>
      </c>
      <c r="F30" s="76"/>
      <c r="G30" s="77" t="str">
        <f aca="false">IF(F30="","",E30-F30)</f>
        <v/>
      </c>
      <c r="H30" s="78"/>
    </row>
    <row r="31" customFormat="false" ht="15" hidden="false" customHeight="true" outlineLevel="0" collapsed="false">
      <c r="A31" s="73" t="str">
        <f aca="false">Estimate!A88</f>
        <v>0910</v>
      </c>
      <c r="B31" s="74" t="s">
        <v>170</v>
      </c>
      <c r="C31" s="74" t="s">
        <v>170</v>
      </c>
      <c r="D31" s="73" t="str">
        <f aca="false">Estimate!K88</f>
        <v>N</v>
      </c>
      <c r="E31" s="75" t="n">
        <f aca="false">Estimate!F88</f>
        <v>0</v>
      </c>
      <c r="F31" s="76"/>
      <c r="G31" s="77" t="str">
        <f aca="false">IF(F31="","",E31-F31)</f>
        <v/>
      </c>
      <c r="H31" s="78"/>
    </row>
    <row r="32" customFormat="false" ht="15" hidden="false" customHeight="true" outlineLevel="0" collapsed="false">
      <c r="A32" s="73" t="str">
        <f aca="false">Estimate!A91</f>
        <v>1010</v>
      </c>
      <c r="B32" s="74" t="s">
        <v>174</v>
      </c>
      <c r="C32" s="74" t="s">
        <v>176</v>
      </c>
      <c r="D32" s="73" t="str">
        <f aca="false">Estimate!K91</f>
        <v>N</v>
      </c>
      <c r="E32" s="75" t="n">
        <f aca="false">Estimate!F91</f>
        <v>0</v>
      </c>
      <c r="F32" s="76"/>
      <c r="G32" s="77" t="str">
        <f aca="false">IF(F32="","",E32-F32)</f>
        <v/>
      </c>
      <c r="H32" s="78"/>
    </row>
    <row r="33" customFormat="false" ht="15" hidden="false" customHeight="true" outlineLevel="0" collapsed="false">
      <c r="A33" s="73" t="str">
        <f aca="false">Estimate!A93</f>
        <v>1020</v>
      </c>
      <c r="B33" s="74" t="s">
        <v>174</v>
      </c>
      <c r="C33" s="74" t="s">
        <v>179</v>
      </c>
      <c r="D33" s="73" t="str">
        <f aca="false">Estimate!K93</f>
        <v>N</v>
      </c>
      <c r="E33" s="75" t="n">
        <f aca="false">Estimate!F93</f>
        <v>0</v>
      </c>
      <c r="F33" s="76"/>
      <c r="G33" s="77" t="str">
        <f aca="false">IF(F33="","",E33-F33)</f>
        <v/>
      </c>
      <c r="H33" s="78"/>
    </row>
    <row r="34" customFormat="false" ht="15" hidden="false" customHeight="true" outlineLevel="0" collapsed="false">
      <c r="A34" s="73" t="str">
        <f aca="false">Estimate!A95</f>
        <v>1030</v>
      </c>
      <c r="B34" s="74" t="s">
        <v>174</v>
      </c>
      <c r="C34" s="74" t="s">
        <v>182</v>
      </c>
      <c r="D34" s="73" t="str">
        <f aca="false">Estimate!K95</f>
        <v>N</v>
      </c>
      <c r="E34" s="75" t="n">
        <f aca="false">Estimate!F95</f>
        <v>0</v>
      </c>
      <c r="F34" s="76"/>
      <c r="G34" s="77" t="str">
        <f aca="false">IF(F34="","",E34-F34)</f>
        <v/>
      </c>
      <c r="H34" s="78"/>
    </row>
    <row r="35" customFormat="false" ht="15" hidden="false" customHeight="true" outlineLevel="0" collapsed="false">
      <c r="A35" s="73" t="str">
        <f aca="false">Estimate!A96</f>
        <v>1040</v>
      </c>
      <c r="B35" s="74" t="s">
        <v>174</v>
      </c>
      <c r="C35" s="74" t="s">
        <v>377</v>
      </c>
      <c r="D35" s="73" t="str">
        <f aca="false">Estimate!K96</f>
        <v>Y</v>
      </c>
      <c r="E35" s="75" t="n">
        <f aca="false">Estimate!F96</f>
        <v>0</v>
      </c>
      <c r="F35" s="76"/>
      <c r="G35" s="77" t="str">
        <f aca="false">IF(F35="","",E35-F35)</f>
        <v/>
      </c>
      <c r="H35" s="78"/>
    </row>
    <row r="36" customFormat="false" ht="15" hidden="false" customHeight="true" outlineLevel="0" collapsed="false">
      <c r="A36" s="73" t="str">
        <f aca="false">Estimate!A99</f>
        <v>1050</v>
      </c>
      <c r="B36" s="74" t="s">
        <v>174</v>
      </c>
      <c r="C36" s="74" t="s">
        <v>378</v>
      </c>
      <c r="D36" s="73" t="str">
        <f aca="false">Estimate!K99</f>
        <v>Y</v>
      </c>
      <c r="E36" s="75" t="n">
        <f aca="false">Estimate!F99</f>
        <v>0</v>
      </c>
      <c r="F36" s="76"/>
      <c r="G36" s="77" t="str">
        <f aca="false">IF(F36="","",E36-F36)</f>
        <v/>
      </c>
      <c r="H36" s="78"/>
    </row>
    <row r="37" customFormat="false" ht="15" hidden="false" customHeight="true" outlineLevel="0" collapsed="false">
      <c r="A37" s="73" t="str">
        <f aca="false">Estimate!A103</f>
        <v>1110</v>
      </c>
      <c r="B37" s="74" t="s">
        <v>191</v>
      </c>
      <c r="C37" s="74" t="s">
        <v>379</v>
      </c>
      <c r="D37" s="73" t="str">
        <f aca="false">Estimate!K103</f>
        <v>Y</v>
      </c>
      <c r="E37" s="75" t="n">
        <f aca="false">Estimate!F103</f>
        <v>0</v>
      </c>
      <c r="F37" s="76"/>
      <c r="G37" s="77" t="str">
        <f aca="false">IF(F37="","",E37-F37)</f>
        <v/>
      </c>
      <c r="H37" s="78"/>
    </row>
    <row r="38" customFormat="false" ht="15" hidden="false" customHeight="true" outlineLevel="0" collapsed="false">
      <c r="A38" s="73" t="str">
        <f aca="false">Estimate!A108</f>
        <v>1120</v>
      </c>
      <c r="B38" s="74" t="s">
        <v>191</v>
      </c>
      <c r="C38" s="74" t="s">
        <v>380</v>
      </c>
      <c r="D38" s="73" t="str">
        <f aca="false">Estimate!K108</f>
        <v>Y</v>
      </c>
      <c r="E38" s="75" t="n">
        <f aca="false">Estimate!F108</f>
        <v>0</v>
      </c>
      <c r="F38" s="76"/>
      <c r="G38" s="77" t="str">
        <f aca="false">IF(F38="","",E38-F38)</f>
        <v/>
      </c>
      <c r="H38" s="78"/>
    </row>
    <row r="39" customFormat="false" ht="15" hidden="false" customHeight="true" outlineLevel="0" collapsed="false">
      <c r="A39" s="73" t="str">
        <f aca="false">Estimate!A112</f>
        <v>1210</v>
      </c>
      <c r="B39" s="74" t="s">
        <v>199</v>
      </c>
      <c r="C39" s="74" t="s">
        <v>201</v>
      </c>
      <c r="D39" s="73" t="str">
        <f aca="false">Estimate!K112</f>
        <v>N</v>
      </c>
      <c r="E39" s="75" t="n">
        <f aca="false">Estimate!F112</f>
        <v>0</v>
      </c>
      <c r="F39" s="76"/>
      <c r="G39" s="77" t="str">
        <f aca="false">IF(F39="","",E39-F39)</f>
        <v/>
      </c>
      <c r="H39" s="78"/>
    </row>
    <row r="40" customFormat="false" ht="15" hidden="false" customHeight="true" outlineLevel="0" collapsed="false">
      <c r="A40" s="73" t="str">
        <f aca="false">Estimate!A114</f>
        <v>1220</v>
      </c>
      <c r="B40" s="74" t="s">
        <v>199</v>
      </c>
      <c r="C40" s="74" t="s">
        <v>204</v>
      </c>
      <c r="D40" s="73" t="str">
        <f aca="false">Estimate!K114</f>
        <v>N</v>
      </c>
      <c r="E40" s="75" t="n">
        <f aca="false">Estimate!F114</f>
        <v>0</v>
      </c>
      <c r="F40" s="76"/>
      <c r="G40" s="77" t="str">
        <f aca="false">IF(F40="","",E40-F40)</f>
        <v/>
      </c>
      <c r="H40" s="78"/>
    </row>
    <row r="41" customFormat="false" ht="15" hidden="false" customHeight="true" outlineLevel="0" collapsed="false">
      <c r="A41" s="73" t="str">
        <f aca="false">Estimate!A116</f>
        <v>1230</v>
      </c>
      <c r="B41" s="74" t="s">
        <v>199</v>
      </c>
      <c r="C41" s="74" t="s">
        <v>381</v>
      </c>
      <c r="D41" s="73" t="str">
        <f aca="false">Estimate!K116</f>
        <v>Y</v>
      </c>
      <c r="E41" s="75" t="n">
        <f aca="false">Estimate!F116</f>
        <v>0</v>
      </c>
      <c r="F41" s="76"/>
      <c r="G41" s="77" t="str">
        <f aca="false">IF(F41="","",E41-F41)</f>
        <v/>
      </c>
      <c r="H41" s="78"/>
    </row>
    <row r="42" customFormat="false" ht="15" hidden="false" customHeight="true" outlineLevel="0" collapsed="false">
      <c r="A42" s="73" t="str">
        <f aca="false">Estimate!A118</f>
        <v>1240</v>
      </c>
      <c r="B42" s="74" t="s">
        <v>199</v>
      </c>
      <c r="C42" s="74" t="s">
        <v>382</v>
      </c>
      <c r="D42" s="73" t="str">
        <f aca="false">Estimate!K118</f>
        <v>Y</v>
      </c>
      <c r="E42" s="75" t="n">
        <f aca="false">Estimate!F118</f>
        <v>0</v>
      </c>
      <c r="F42" s="76"/>
      <c r="G42" s="77" t="str">
        <f aca="false">IF(F42="","",E42-F42)</f>
        <v/>
      </c>
      <c r="H42" s="78"/>
    </row>
    <row r="43" customFormat="false" ht="15" hidden="false" customHeight="true" outlineLevel="0" collapsed="false">
      <c r="A43" s="73" t="str">
        <f aca="false">Estimate!A122</f>
        <v>1310</v>
      </c>
      <c r="B43" s="74" t="s">
        <v>213</v>
      </c>
      <c r="C43" s="74" t="s">
        <v>215</v>
      </c>
      <c r="D43" s="73" t="str">
        <f aca="false">Estimate!K122</f>
        <v>N</v>
      </c>
      <c r="E43" s="75" t="n">
        <f aca="false">Estimate!F122</f>
        <v>0</v>
      </c>
      <c r="F43" s="76"/>
      <c r="G43" s="77" t="str">
        <f aca="false">IF(F43="","",E43-F43)</f>
        <v/>
      </c>
      <c r="H43" s="78"/>
    </row>
    <row r="44" customFormat="false" ht="15" hidden="false" customHeight="true" outlineLevel="0" collapsed="false">
      <c r="A44" s="73" t="str">
        <f aca="false">Estimate!A124</f>
        <v>1320</v>
      </c>
      <c r="B44" s="74" t="s">
        <v>213</v>
      </c>
      <c r="C44" s="74" t="s">
        <v>383</v>
      </c>
      <c r="D44" s="73" t="str">
        <f aca="false">Estimate!K124</f>
        <v>Y</v>
      </c>
      <c r="E44" s="75" t="n">
        <f aca="false">Estimate!F124</f>
        <v>0</v>
      </c>
      <c r="F44" s="76"/>
      <c r="G44" s="77" t="str">
        <f aca="false">IF(F44="","",E44-F44)</f>
        <v/>
      </c>
      <c r="H44" s="78"/>
    </row>
    <row r="45" customFormat="false" ht="15" hidden="false" customHeight="true" outlineLevel="0" collapsed="false">
      <c r="A45" s="73" t="str">
        <f aca="false">Estimate!A127</f>
        <v>1510</v>
      </c>
      <c r="B45" s="74" t="s">
        <v>221</v>
      </c>
      <c r="C45" s="74" t="s">
        <v>223</v>
      </c>
      <c r="D45" s="73" t="str">
        <f aca="false">Estimate!K127</f>
        <v>N</v>
      </c>
      <c r="E45" s="75" t="n">
        <f aca="false">Estimate!F127</f>
        <v>0</v>
      </c>
      <c r="F45" s="76"/>
      <c r="G45" s="77" t="str">
        <f aca="false">IF(F45="","",E45-F45)</f>
        <v/>
      </c>
      <c r="H45" s="78"/>
    </row>
    <row r="46" customFormat="false" ht="15" hidden="false" customHeight="true" outlineLevel="0" collapsed="false">
      <c r="C46" s="59" t="s">
        <v>384</v>
      </c>
      <c r="E46" s="60" t="n">
        <f aca="false">SUMIF(D6:D45,"Y",E6:E45)</f>
        <v>0</v>
      </c>
      <c r="F46" s="60" t="n">
        <f aca="false">SUMIF(D6:D45,"Y",F6:F45)</f>
        <v>0</v>
      </c>
      <c r="G46" s="79" t="n">
        <f aca="false">E46-F46</f>
        <v>0</v>
      </c>
    </row>
  </sheetData>
  <mergeCells count="4">
    <mergeCell ref="D1:H1"/>
    <mergeCell ref="D2:H2"/>
    <mergeCell ref="D3:H3"/>
    <mergeCell ref="A4:H4"/>
  </mergeCells>
  <conditionalFormatting sqref="A6:H45">
    <cfRule type="expression" priority="2" aboveAverage="0" equalAverage="0" bottom="0" percent="0" rank="0" text="" dxfId="2">
      <formula>$D6&lt;&gt;"Y"</formula>
    </cfRule>
  </conditionalFormatting>
  <printOptions headings="false" gridLines="false" gridLinesSet="true" horizontalCentered="true" verticalCentered="false"/>
  <pageMargins left="0.45" right="0.45" top="0.6" bottom="0.6"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&amp;LRidgeline Construction&amp;CPage &amp;P of &amp;N&amp;R&amp;D</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I1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1" outlineLevelCol="0"/>
  <cols>
    <col collapsed="false" customWidth="true" hidden="false" outlineLevel="0" max="1" min="1" style="1" width="5"/>
    <col collapsed="false" customWidth="true" hidden="false" outlineLevel="0" max="2" min="2" style="1" width="40"/>
    <col collapsed="false" customWidth="true" hidden="false" outlineLevel="0" max="3" min="3" style="1" width="6"/>
    <col collapsed="false" customWidth="true" hidden="false" outlineLevel="0" max="5" min="4" style="1" width="14"/>
    <col collapsed="false" customWidth="true" hidden="false" outlineLevel="0" max="6" min="6" style="1" width="6"/>
    <col collapsed="false" customWidth="true" hidden="false" outlineLevel="0" max="7" min="7" style="1" width="12"/>
    <col collapsed="false" customWidth="true" hidden="false" outlineLevel="0" max="8" min="8" style="1" width="13"/>
    <col collapsed="false" customWidth="true" hidden="false" outlineLevel="0" max="9" min="9" style="1" width="7"/>
  </cols>
  <sheetData>
    <row r="1" customFormat="false" ht="24" hidden="false" customHeight="true" outlineLevel="0" collapsed="false">
      <c r="A1" s="80" t="s">
        <v>385</v>
      </c>
      <c r="B1" s="80"/>
      <c r="C1" s="80"/>
      <c r="D1" s="80"/>
      <c r="E1" s="80"/>
      <c r="F1" s="80"/>
      <c r="G1" s="80"/>
      <c r="H1" s="80"/>
      <c r="I1" s="80"/>
    </row>
    <row r="3" customFormat="false" ht="26.25" hidden="false" customHeight="true" outlineLevel="0" collapsed="false">
      <c r="A3" s="81" t="s">
        <v>386</v>
      </c>
      <c r="B3" s="81" t="s">
        <v>387</v>
      </c>
      <c r="C3" s="81" t="s">
        <v>388</v>
      </c>
      <c r="D3" s="81" t="s">
        <v>389</v>
      </c>
      <c r="E3" s="81" t="s">
        <v>390</v>
      </c>
      <c r="F3" s="81" t="s">
        <v>391</v>
      </c>
      <c r="G3" s="81" t="s">
        <v>392</v>
      </c>
      <c r="H3" s="81" t="s">
        <v>393</v>
      </c>
      <c r="I3" s="81" t="s">
        <v>394</v>
      </c>
    </row>
    <row r="4" customFormat="false" ht="15" hidden="false" customHeight="true" outlineLevel="0" collapsed="false">
      <c r="A4" s="82" t="n">
        <v>1</v>
      </c>
      <c r="B4" s="83" t="s">
        <v>395</v>
      </c>
      <c r="C4" s="84" t="str">
        <f aca="false">IFERROR(NETWORKDAYS(D4,E4),"")</f>
        <v/>
      </c>
      <c r="D4" s="85" t="str">
        <f aca="false">IF(COUNT(D5:D6)=0,"",MIN(D5:D6))</f>
        <v/>
      </c>
      <c r="E4" s="85" t="str">
        <f aca="false">IF(COUNT(E5:E6)=0,"",MAX(E5:E6))</f>
        <v/>
      </c>
      <c r="F4" s="86"/>
      <c r="G4" s="86"/>
      <c r="H4" s="84" t="str">
        <f aca="false">IF(I4&gt;=1,"Complete",IF(I4&gt;0,"In Progress","Not Started"))</f>
        <v>Not Started</v>
      </c>
      <c r="I4" s="87" t="n">
        <f aca="false">IFERROR(SUMPRODUCT((B5:B6&lt;&gt;"")*I5:I6)/SUMPRODUCT((B5:B6&lt;&gt;"")*1),0)</f>
        <v>0</v>
      </c>
    </row>
    <row r="5" customFormat="false" ht="15" hidden="false" customHeight="true" outlineLevel="1" collapsed="false">
      <c r="A5" s="88"/>
      <c r="B5" s="89"/>
      <c r="C5" s="90"/>
      <c r="D5" s="91" t="str">
        <f aca="false">IF(C5="","",Settings!$C$36)</f>
        <v/>
      </c>
      <c r="E5" s="91" t="str">
        <f aca="false">IF(D5="","",WORKDAY(D5,MAX(C5,1)-1))</f>
        <v/>
      </c>
      <c r="F5" s="92"/>
      <c r="G5" s="90"/>
      <c r="H5" s="90"/>
      <c r="I5" s="93"/>
    </row>
    <row r="6" customFormat="false" ht="15" hidden="false" customHeight="true" outlineLevel="1" collapsed="false">
      <c r="A6" s="88"/>
      <c r="B6" s="89"/>
      <c r="C6" s="90"/>
      <c r="D6" s="91" t="str">
        <f aca="false">IF(C6="","",IF(G6&lt;&gt;"",G6,IF(ISNUMBER(E5),WORKDAY(E5,1),Settings!$C$36)))</f>
        <v/>
      </c>
      <c r="E6" s="91" t="str">
        <f aca="false">IF(D6="","",WORKDAY(D6,MAX(C6,1)-1))</f>
        <v/>
      </c>
      <c r="F6" s="92"/>
      <c r="G6" s="90"/>
      <c r="H6" s="90"/>
      <c r="I6" s="93"/>
    </row>
    <row r="7" customFormat="false" ht="15" hidden="false" customHeight="true" outlineLevel="1" collapsed="false">
      <c r="A7" s="82" t="n">
        <v>2</v>
      </c>
      <c r="B7" s="83" t="s">
        <v>396</v>
      </c>
      <c r="C7" s="84" t="str">
        <f aca="false">IFERROR(NETWORKDAYS(D7,E7),"")</f>
        <v/>
      </c>
      <c r="D7" s="85" t="str">
        <f aca="false">IF(COUNT(D8:D9)=0,"",MIN(D8:D9))</f>
        <v/>
      </c>
      <c r="E7" s="85" t="str">
        <f aca="false">IF(COUNT(E8:E9)=0,"",MAX(E8:E9))</f>
        <v/>
      </c>
      <c r="F7" s="86"/>
      <c r="G7" s="86"/>
      <c r="H7" s="84" t="str">
        <f aca="false">IF(I7&gt;=1,"Complete",IF(I7&gt;0,"In Progress","Not Started"))</f>
        <v>Not Started</v>
      </c>
      <c r="I7" s="87" t="n">
        <f aca="false">IFERROR(SUMPRODUCT((B8:B9&lt;&gt;"")*I8:I9)/SUMPRODUCT((B8:B9&lt;&gt;"")*1),0)</f>
        <v>0</v>
      </c>
    </row>
    <row r="8" customFormat="false" ht="15" hidden="false" customHeight="true" outlineLevel="1" collapsed="false">
      <c r="A8" s="88"/>
      <c r="B8" s="89"/>
      <c r="C8" s="90"/>
      <c r="D8" s="91" t="str">
        <f aca="false">IF(C8="","",IF(G8&lt;&gt;"",G8,IF(ISNUMBER(E6),WORKDAY(E6,1),Settings!$C$36)))</f>
        <v/>
      </c>
      <c r="E8" s="91" t="str">
        <f aca="false">IF(D8="","",WORKDAY(D8,MAX(C8,1)-1))</f>
        <v/>
      </c>
      <c r="F8" s="92"/>
      <c r="G8" s="90"/>
      <c r="H8" s="90"/>
      <c r="I8" s="93"/>
    </row>
    <row r="9" customFormat="false" ht="15" hidden="false" customHeight="true" outlineLevel="1" collapsed="false">
      <c r="A9" s="88"/>
      <c r="B9" s="89"/>
      <c r="C9" s="90"/>
      <c r="D9" s="91" t="str">
        <f aca="false">IF(C9="","",IF(G9&lt;&gt;"",G9,IF(ISNUMBER(E8),WORKDAY(E8,1),Settings!$C$36)))</f>
        <v/>
      </c>
      <c r="E9" s="91" t="str">
        <f aca="false">IF(D9="","",WORKDAY(D9,MAX(C9,1)-1))</f>
        <v/>
      </c>
      <c r="F9" s="92"/>
      <c r="G9" s="90"/>
      <c r="H9" s="90"/>
      <c r="I9" s="93"/>
    </row>
    <row r="10" customFormat="false" ht="15" hidden="false" customHeight="true" outlineLevel="1" collapsed="false">
      <c r="A10" s="82" t="n">
        <v>3</v>
      </c>
      <c r="B10" s="83" t="s">
        <v>397</v>
      </c>
      <c r="C10" s="84" t="str">
        <f aca="false">IFERROR(NETWORKDAYS(D10,E10),"")</f>
        <v/>
      </c>
      <c r="D10" s="85" t="str">
        <f aca="false">IF(COUNT(D11:D12)=0,"",MIN(D11:D12))</f>
        <v/>
      </c>
      <c r="E10" s="85" t="str">
        <f aca="false">IF(COUNT(E11:E12)=0,"",MAX(E11:E12))</f>
        <v/>
      </c>
      <c r="F10" s="86"/>
      <c r="G10" s="86"/>
      <c r="H10" s="84" t="str">
        <f aca="false">IF(I10&gt;=1,"Complete",IF(I10&gt;0,"In Progress","Not Started"))</f>
        <v>Not Started</v>
      </c>
      <c r="I10" s="87" t="n">
        <f aca="false">IFERROR(SUMPRODUCT((B11:B12&lt;&gt;"")*I11:I12)/SUMPRODUCT((B11:B12&lt;&gt;"")*1),0)</f>
        <v>0</v>
      </c>
    </row>
    <row r="11" customFormat="false" ht="15" hidden="false" customHeight="true" outlineLevel="1" collapsed="false">
      <c r="A11" s="88"/>
      <c r="B11" s="89"/>
      <c r="C11" s="90"/>
      <c r="D11" s="91" t="str">
        <f aca="false">IF(C11="","",IF(G11&lt;&gt;"",G11,IF(ISNUMBER(E9),WORKDAY(E9,1),Settings!$C$36)))</f>
        <v/>
      </c>
      <c r="E11" s="91" t="str">
        <f aca="false">IF(D11="","",WORKDAY(D11,MAX(C11,1)-1))</f>
        <v/>
      </c>
      <c r="F11" s="92"/>
      <c r="G11" s="90"/>
      <c r="H11" s="90"/>
      <c r="I11" s="93"/>
    </row>
    <row r="12" customFormat="false" ht="15" hidden="false" customHeight="true" outlineLevel="1" collapsed="false">
      <c r="A12" s="88"/>
      <c r="B12" s="89"/>
      <c r="C12" s="90"/>
      <c r="D12" s="91" t="str">
        <f aca="false">IF(C12="","",IF(G12&lt;&gt;"",G12,IF(ISNUMBER(E11),WORKDAY(E11,1),Settings!$C$36)))</f>
        <v/>
      </c>
      <c r="E12" s="91" t="str">
        <f aca="false">IF(D12="","",WORKDAY(D12,MAX(C12,1)-1))</f>
        <v/>
      </c>
      <c r="F12" s="92"/>
      <c r="G12" s="90"/>
      <c r="H12" s="90"/>
      <c r="I12" s="93"/>
    </row>
    <row r="13" customFormat="false" ht="15" hidden="false" customHeight="true" outlineLevel="1" collapsed="false">
      <c r="A13" s="82" t="n">
        <v>4</v>
      </c>
      <c r="B13" s="83" t="s">
        <v>398</v>
      </c>
      <c r="C13" s="84" t="str">
        <f aca="false">IFERROR(NETWORKDAYS(D13,E13),"")</f>
        <v/>
      </c>
      <c r="D13" s="85" t="str">
        <f aca="false">IF(COUNT(D14:D15)=0,"",MIN(D14:D15))</f>
        <v/>
      </c>
      <c r="E13" s="85" t="str">
        <f aca="false">IF(COUNT(E14:E15)=0,"",MAX(E14:E15))</f>
        <v/>
      </c>
      <c r="F13" s="86"/>
      <c r="G13" s="86"/>
      <c r="H13" s="84" t="str">
        <f aca="false">IF(I13&gt;=1,"Complete",IF(I13&gt;0,"In Progress","Not Started"))</f>
        <v>Not Started</v>
      </c>
      <c r="I13" s="87" t="n">
        <f aca="false">IFERROR(SUMPRODUCT((B14:B15&lt;&gt;"")*I14:I15)/SUMPRODUCT((B14:B15&lt;&gt;"")*1),0)</f>
        <v>0</v>
      </c>
    </row>
    <row r="14" customFormat="false" ht="15" hidden="false" customHeight="true" outlineLevel="1" collapsed="false">
      <c r="A14" s="88"/>
      <c r="B14" s="89"/>
      <c r="C14" s="90"/>
      <c r="D14" s="91" t="str">
        <f aca="false">IF(C14="","",IF(G14&lt;&gt;"",G14,IF(ISNUMBER(E12),WORKDAY(E12,1),Settings!$C$36)))</f>
        <v/>
      </c>
      <c r="E14" s="91" t="str">
        <f aca="false">IF(D14="","",WORKDAY(D14,MAX(C14,1)-1))</f>
        <v/>
      </c>
      <c r="F14" s="92"/>
      <c r="G14" s="90"/>
      <c r="H14" s="90"/>
      <c r="I14" s="93"/>
    </row>
    <row r="15" customFormat="false" ht="15" hidden="false" customHeight="true" outlineLevel="1" collapsed="false">
      <c r="A15" s="88"/>
      <c r="B15" s="89"/>
      <c r="C15" s="90"/>
      <c r="D15" s="91" t="str">
        <f aca="false">IF(C15="","",IF(G15&lt;&gt;"",G15,IF(ISNUMBER(E14),WORKDAY(E14,1),Settings!$C$36)))</f>
        <v/>
      </c>
      <c r="E15" s="91" t="str">
        <f aca="false">IF(D15="","",WORKDAY(D15,MAX(C15,1)-1))</f>
        <v/>
      </c>
      <c r="F15" s="92"/>
      <c r="G15" s="90"/>
      <c r="H15" s="90"/>
      <c r="I15" s="93"/>
    </row>
    <row r="16" customFormat="false" ht="15" hidden="false" customHeight="true" outlineLevel="1" collapsed="false">
      <c r="A16" s="82" t="n">
        <v>5</v>
      </c>
      <c r="B16" s="83" t="s">
        <v>399</v>
      </c>
      <c r="C16" s="84" t="str">
        <f aca="false">IFERROR(NETWORKDAYS(D16,E16),"")</f>
        <v/>
      </c>
      <c r="D16" s="85" t="str">
        <f aca="false">IF(COUNT(D17:D18)=0,"",MIN(D17:D18))</f>
        <v/>
      </c>
      <c r="E16" s="85" t="str">
        <f aca="false">IF(COUNT(E17:E18)=0,"",MAX(E17:E18))</f>
        <v/>
      </c>
      <c r="F16" s="86"/>
      <c r="G16" s="86"/>
      <c r="H16" s="84" t="str">
        <f aca="false">IF(I16&gt;=1,"Complete",IF(I16&gt;0,"In Progress","Not Started"))</f>
        <v>Not Started</v>
      </c>
      <c r="I16" s="87" t="n">
        <f aca="false">IFERROR(SUMPRODUCT((B17:B18&lt;&gt;"")*I17:I18)/SUMPRODUCT((B17:B18&lt;&gt;"")*1),0)</f>
        <v>0</v>
      </c>
    </row>
    <row r="17" customFormat="false" ht="15" hidden="false" customHeight="true" outlineLevel="1" collapsed="false">
      <c r="A17" s="88"/>
      <c r="B17" s="89"/>
      <c r="C17" s="90"/>
      <c r="D17" s="91" t="str">
        <f aca="false">IF(C17="","",IF(G17&lt;&gt;"",G17,IF(ISNUMBER(E15),WORKDAY(E15,1),Settings!$C$36)))</f>
        <v/>
      </c>
      <c r="E17" s="91" t="str">
        <f aca="false">IF(D17="","",WORKDAY(D17,MAX(C17,1)-1))</f>
        <v/>
      </c>
      <c r="F17" s="92"/>
      <c r="G17" s="90"/>
      <c r="H17" s="90"/>
      <c r="I17" s="93"/>
    </row>
    <row r="18" customFormat="false" ht="15" hidden="false" customHeight="true" outlineLevel="1" collapsed="false">
      <c r="A18" s="88"/>
      <c r="B18" s="89"/>
      <c r="C18" s="90"/>
      <c r="D18" s="91" t="str">
        <f aca="false">IF(C18="","",IF(G18&lt;&gt;"",G18,IF(ISNUMBER(E17),WORKDAY(E17,1),Settings!$C$36)))</f>
        <v/>
      </c>
      <c r="E18" s="91" t="str">
        <f aca="false">IF(D18="","",WORKDAY(D18,MAX(C18,1)-1))</f>
        <v/>
      </c>
      <c r="F18" s="92"/>
      <c r="G18" s="90"/>
      <c r="H18" s="90"/>
      <c r="I18" s="93"/>
    </row>
    <row r="19" customFormat="false" ht="15" hidden="false" customHeight="true" outlineLevel="0" collapsed="false">
      <c r="A19" s="82" t="n">
        <v>6</v>
      </c>
      <c r="B19" s="83" t="s">
        <v>400</v>
      </c>
      <c r="C19" s="84" t="str">
        <f aca="false">IFERROR(NETWORKDAYS(D19,E19),"")</f>
        <v/>
      </c>
      <c r="D19" s="85" t="str">
        <f aca="false">IF(COUNT(D20:D21)=0,"",MIN(D20:D21))</f>
        <v/>
      </c>
      <c r="E19" s="85" t="str">
        <f aca="false">IF(COUNT(E20:E21)=0,"",MAX(E20:E21))</f>
        <v/>
      </c>
      <c r="F19" s="86"/>
      <c r="G19" s="86"/>
      <c r="H19" s="84" t="str">
        <f aca="false">IF(I19&gt;=1,"Complete",IF(I19&gt;0,"In Progress","Not Started"))</f>
        <v>Not Started</v>
      </c>
      <c r="I19" s="87" t="n">
        <f aca="false">IFERROR(SUMPRODUCT((B20:B21&lt;&gt;"")*I20:I21)/SUMPRODUCT((B20:B21&lt;&gt;"")*1),0)</f>
        <v>0</v>
      </c>
    </row>
    <row r="20" customFormat="false" ht="15" hidden="false" customHeight="true" outlineLevel="1" collapsed="false">
      <c r="A20" s="88"/>
      <c r="B20" s="89"/>
      <c r="C20" s="90"/>
      <c r="D20" s="91" t="str">
        <f aca="false">IF(C20="","",IF(G20&lt;&gt;"",G20,IF(ISNUMBER(E18),WORKDAY(E18,1),Settings!$C$36)))</f>
        <v/>
      </c>
      <c r="E20" s="91" t="str">
        <f aca="false">IF(D20="","",WORKDAY(D20,MAX(C20,1)-1))</f>
        <v/>
      </c>
      <c r="F20" s="92"/>
      <c r="G20" s="90"/>
      <c r="H20" s="90"/>
      <c r="I20" s="93"/>
    </row>
    <row r="21" customFormat="false" ht="15" hidden="false" customHeight="true" outlineLevel="1" collapsed="false">
      <c r="A21" s="88"/>
      <c r="B21" s="89"/>
      <c r="C21" s="90"/>
      <c r="D21" s="91" t="str">
        <f aca="false">IF(C21="","",IF(G21&lt;&gt;"",G21,IF(ISNUMBER(E20),WORKDAY(E20,1),Settings!$C$36)))</f>
        <v/>
      </c>
      <c r="E21" s="91" t="str">
        <f aca="false">IF(D21="","",WORKDAY(D21,MAX(C21,1)-1))</f>
        <v/>
      </c>
      <c r="F21" s="92"/>
      <c r="G21" s="90"/>
      <c r="H21" s="90"/>
      <c r="I21" s="93"/>
    </row>
    <row r="22" customFormat="false" ht="15" hidden="false" customHeight="true" outlineLevel="1" collapsed="false">
      <c r="A22" s="82" t="n">
        <v>7</v>
      </c>
      <c r="B22" s="83" t="s">
        <v>401</v>
      </c>
      <c r="C22" s="84" t="str">
        <f aca="false">IFERROR(NETWORKDAYS(D22,E22),"")</f>
        <v/>
      </c>
      <c r="D22" s="85" t="str">
        <f aca="false">IF(COUNT(D23:D24)=0,"",MIN(D23:D24))</f>
        <v/>
      </c>
      <c r="E22" s="85" t="str">
        <f aca="false">IF(COUNT(E23:E24)=0,"",MAX(E23:E24))</f>
        <v/>
      </c>
      <c r="F22" s="86"/>
      <c r="G22" s="86"/>
      <c r="H22" s="84" t="str">
        <f aca="false">IF(I22&gt;=1,"Complete",IF(I22&gt;0,"In Progress","Not Started"))</f>
        <v>Not Started</v>
      </c>
      <c r="I22" s="87" t="n">
        <f aca="false">IFERROR(SUMPRODUCT((B23:B24&lt;&gt;"")*I23:I24)/SUMPRODUCT((B23:B24&lt;&gt;"")*1),0)</f>
        <v>0</v>
      </c>
    </row>
    <row r="23" customFormat="false" ht="15" hidden="false" customHeight="true" outlineLevel="1" collapsed="false">
      <c r="A23" s="88"/>
      <c r="B23" s="89"/>
      <c r="C23" s="90"/>
      <c r="D23" s="91" t="str">
        <f aca="false">IF(C23="","",IF(G23&lt;&gt;"",G23,IF(ISNUMBER(E21),WORKDAY(E21,1),Settings!$C$36)))</f>
        <v/>
      </c>
      <c r="E23" s="91" t="str">
        <f aca="false">IF(D23="","",WORKDAY(D23,MAX(C23,1)-1))</f>
        <v/>
      </c>
      <c r="F23" s="92"/>
      <c r="G23" s="90"/>
      <c r="H23" s="90"/>
      <c r="I23" s="93"/>
    </row>
    <row r="24" customFormat="false" ht="15" hidden="false" customHeight="true" outlineLevel="1" collapsed="false">
      <c r="A24" s="88"/>
      <c r="B24" s="89"/>
      <c r="C24" s="90"/>
      <c r="D24" s="91" t="str">
        <f aca="false">IF(C24="","",IF(G24&lt;&gt;"",G24,IF(ISNUMBER(E23),WORKDAY(E23,1),Settings!$C$36)))</f>
        <v/>
      </c>
      <c r="E24" s="91" t="str">
        <f aca="false">IF(D24="","",WORKDAY(D24,MAX(C24,1)-1))</f>
        <v/>
      </c>
      <c r="F24" s="92"/>
      <c r="G24" s="90"/>
      <c r="H24" s="90"/>
      <c r="I24" s="93"/>
    </row>
    <row r="25" customFormat="false" ht="15" hidden="false" customHeight="true" outlineLevel="0" collapsed="false">
      <c r="A25" s="82" t="n">
        <v>8</v>
      </c>
      <c r="B25" s="83" t="s">
        <v>402</v>
      </c>
      <c r="C25" s="84" t="str">
        <f aca="false">IFERROR(NETWORKDAYS(D25,E25),"")</f>
        <v/>
      </c>
      <c r="D25" s="85" t="str">
        <f aca="false">IF(COUNT(D26:D27)=0,"",MIN(D26:D27))</f>
        <v/>
      </c>
      <c r="E25" s="85" t="str">
        <f aca="false">IF(COUNT(E26:E27)=0,"",MAX(E26:E27))</f>
        <v/>
      </c>
      <c r="F25" s="86"/>
      <c r="G25" s="86"/>
      <c r="H25" s="84" t="str">
        <f aca="false">IF(I25&gt;=1,"Complete",IF(I25&gt;0,"In Progress","Not Started"))</f>
        <v>Not Started</v>
      </c>
      <c r="I25" s="87" t="n">
        <f aca="false">IFERROR(SUMPRODUCT((B26:B27&lt;&gt;"")*I26:I27)/SUMPRODUCT((B26:B27&lt;&gt;"")*1),0)</f>
        <v>0</v>
      </c>
    </row>
    <row r="26" customFormat="false" ht="15" hidden="false" customHeight="true" outlineLevel="1" collapsed="false">
      <c r="A26" s="88"/>
      <c r="B26" s="89"/>
      <c r="C26" s="90"/>
      <c r="D26" s="91" t="str">
        <f aca="false">IF(C26="","",IF(G26&lt;&gt;"",G26,IF(ISNUMBER(E24),WORKDAY(E24,1),Settings!$C$36)))</f>
        <v/>
      </c>
      <c r="E26" s="91" t="str">
        <f aca="false">IF(D26="","",WORKDAY(D26,MAX(C26,1)-1))</f>
        <v/>
      </c>
      <c r="F26" s="92"/>
      <c r="G26" s="90"/>
      <c r="H26" s="90"/>
      <c r="I26" s="93"/>
    </row>
    <row r="27" customFormat="false" ht="15" hidden="false" customHeight="true" outlineLevel="1" collapsed="false">
      <c r="A27" s="88"/>
      <c r="B27" s="89"/>
      <c r="C27" s="90"/>
      <c r="D27" s="91" t="str">
        <f aca="false">IF(C27="","",IF(G27&lt;&gt;"",G27,IF(ISNUMBER(E26),WORKDAY(E26,1),Settings!$C$36)))</f>
        <v/>
      </c>
      <c r="E27" s="91" t="str">
        <f aca="false">IF(D27="","",WORKDAY(D27,MAX(C27,1)-1))</f>
        <v/>
      </c>
      <c r="F27" s="92"/>
      <c r="G27" s="90"/>
      <c r="H27" s="90"/>
      <c r="I27" s="93"/>
    </row>
    <row r="28" customFormat="false" ht="15" hidden="false" customHeight="true" outlineLevel="0" collapsed="false">
      <c r="A28" s="82" t="n">
        <v>9</v>
      </c>
      <c r="B28" s="83" t="s">
        <v>403</v>
      </c>
      <c r="C28" s="84" t="str">
        <f aca="false">IFERROR(NETWORKDAYS(D28,E28),"")</f>
        <v/>
      </c>
      <c r="D28" s="85" t="str">
        <f aca="false">IF(COUNT(D29:D30)=0,"",MIN(D29:D30))</f>
        <v/>
      </c>
      <c r="E28" s="85" t="str">
        <f aca="false">IF(COUNT(E29:E30)=0,"",MAX(E29:E30))</f>
        <v/>
      </c>
      <c r="F28" s="86"/>
      <c r="G28" s="86"/>
      <c r="H28" s="84" t="str">
        <f aca="false">IF(I28&gt;=1,"Complete",IF(I28&gt;0,"In Progress","Not Started"))</f>
        <v>Not Started</v>
      </c>
      <c r="I28" s="87" t="n">
        <f aca="false">IFERROR(SUMPRODUCT((B29:B30&lt;&gt;"")*I29:I30)/SUMPRODUCT((B29:B30&lt;&gt;"")*1),0)</f>
        <v>0</v>
      </c>
    </row>
    <row r="29" customFormat="false" ht="15" hidden="false" customHeight="true" outlineLevel="1" collapsed="false">
      <c r="A29" s="88"/>
      <c r="B29" s="89"/>
      <c r="C29" s="90"/>
      <c r="D29" s="91" t="str">
        <f aca="false">IF(C29="","",IF(G29&lt;&gt;"",G29,IF(ISNUMBER(E27),WORKDAY(E27,1),Settings!$C$36)))</f>
        <v/>
      </c>
      <c r="E29" s="91" t="str">
        <f aca="false">IF(D29="","",WORKDAY(D29,MAX(C29,1)-1))</f>
        <v/>
      </c>
      <c r="F29" s="92"/>
      <c r="G29" s="90"/>
      <c r="H29" s="90"/>
      <c r="I29" s="93"/>
    </row>
    <row r="30" customFormat="false" ht="15" hidden="false" customHeight="true" outlineLevel="1" collapsed="false">
      <c r="A30" s="88"/>
      <c r="B30" s="89"/>
      <c r="C30" s="90"/>
      <c r="D30" s="91" t="str">
        <f aca="false">IF(C30="","",IF(G30&lt;&gt;"",G30,IF(ISNUMBER(E29),WORKDAY(E29,1),Settings!$C$36)))</f>
        <v/>
      </c>
      <c r="E30" s="91" t="str">
        <f aca="false">IF(D30="","",WORKDAY(D30,MAX(C30,1)-1))</f>
        <v/>
      </c>
      <c r="F30" s="92"/>
      <c r="G30" s="90"/>
      <c r="H30" s="90"/>
      <c r="I30" s="93"/>
    </row>
    <row r="31" customFormat="false" ht="15" hidden="false" customHeight="true" outlineLevel="1" collapsed="false">
      <c r="A31" s="82" t="n">
        <v>10</v>
      </c>
      <c r="B31" s="83" t="s">
        <v>404</v>
      </c>
      <c r="C31" s="84" t="str">
        <f aca="false">IFERROR(NETWORKDAYS(D31,E31),"")</f>
        <v/>
      </c>
      <c r="D31" s="85" t="str">
        <f aca="false">IF(COUNT(D32:D33)=0,"",MIN(D32:D33))</f>
        <v/>
      </c>
      <c r="E31" s="85" t="str">
        <f aca="false">IF(COUNT(E32:E33)=0,"",MAX(E32:E33))</f>
        <v/>
      </c>
      <c r="F31" s="86"/>
      <c r="G31" s="86"/>
      <c r="H31" s="84" t="str">
        <f aca="false">IF(I31&gt;=1,"Complete",IF(I31&gt;0,"In Progress","Not Started"))</f>
        <v>Not Started</v>
      </c>
      <c r="I31" s="87" t="n">
        <f aca="false">IFERROR(SUMPRODUCT((B32:B33&lt;&gt;"")*I32:I33)/SUMPRODUCT((B32:B33&lt;&gt;"")*1),0)</f>
        <v>0</v>
      </c>
    </row>
    <row r="32" customFormat="false" ht="15" hidden="false" customHeight="true" outlineLevel="1" collapsed="false">
      <c r="A32" s="88"/>
      <c r="B32" s="89"/>
      <c r="C32" s="90"/>
      <c r="D32" s="91" t="str">
        <f aca="false">IF(C32="","",IF(G32&lt;&gt;"",G32,IF(ISNUMBER(E30),WORKDAY(E30,1),Settings!$C$36)))</f>
        <v/>
      </c>
      <c r="E32" s="91" t="str">
        <f aca="false">IF(D32="","",WORKDAY(D32,MAX(C32,1)-1))</f>
        <v/>
      </c>
      <c r="F32" s="92"/>
      <c r="G32" s="90"/>
      <c r="H32" s="90"/>
      <c r="I32" s="93"/>
    </row>
    <row r="33" customFormat="false" ht="15" hidden="false" customHeight="true" outlineLevel="1" collapsed="false">
      <c r="A33" s="88"/>
      <c r="B33" s="89"/>
      <c r="C33" s="90"/>
      <c r="D33" s="91" t="str">
        <f aca="false">IF(C33="","",IF(G33&lt;&gt;"",G33,IF(ISNUMBER(E32),WORKDAY(E32,1),Settings!$C$36)))</f>
        <v/>
      </c>
      <c r="E33" s="91" t="str">
        <f aca="false">IF(D33="","",WORKDAY(D33,MAX(C33,1)-1))</f>
        <v/>
      </c>
      <c r="F33" s="92"/>
      <c r="G33" s="90"/>
      <c r="H33" s="90"/>
      <c r="I33" s="93"/>
    </row>
    <row r="34" customFormat="false" ht="15" hidden="false" customHeight="true" outlineLevel="1" collapsed="false">
      <c r="A34" s="82" t="n">
        <v>11</v>
      </c>
      <c r="B34" s="83" t="s">
        <v>405</v>
      </c>
      <c r="C34" s="84" t="str">
        <f aca="false">IFERROR(NETWORKDAYS(D34,E34),"")</f>
        <v/>
      </c>
      <c r="D34" s="85" t="str">
        <f aca="false">IF(COUNT(D35:D36)=0,"",MIN(D35:D36))</f>
        <v/>
      </c>
      <c r="E34" s="85" t="str">
        <f aca="false">IF(COUNT(E35:E36)=0,"",MAX(E35:E36))</f>
        <v/>
      </c>
      <c r="F34" s="86"/>
      <c r="G34" s="86"/>
      <c r="H34" s="84" t="str">
        <f aca="false">IF(I34&gt;=1,"Complete",IF(I34&gt;0,"In Progress","Not Started"))</f>
        <v>Not Started</v>
      </c>
      <c r="I34" s="87" t="n">
        <f aca="false">IFERROR(SUMPRODUCT((B35:B36&lt;&gt;"")*I35:I36)/SUMPRODUCT((B35:B36&lt;&gt;"")*1),0)</f>
        <v>0</v>
      </c>
    </row>
    <row r="35" customFormat="false" ht="15" hidden="false" customHeight="true" outlineLevel="1" collapsed="false">
      <c r="A35" s="88"/>
      <c r="B35" s="89"/>
      <c r="C35" s="90"/>
      <c r="D35" s="91" t="str">
        <f aca="false">IF(C35="","",IF(G35&lt;&gt;"",G35,IF(ISNUMBER(E33),WORKDAY(E33,1),Settings!$C$36)))</f>
        <v/>
      </c>
      <c r="E35" s="91" t="str">
        <f aca="false">IF(D35="","",WORKDAY(D35,MAX(C35,1)-1))</f>
        <v/>
      </c>
      <c r="F35" s="92"/>
      <c r="G35" s="90"/>
      <c r="H35" s="90"/>
      <c r="I35" s="93"/>
    </row>
    <row r="36" customFormat="false" ht="15" hidden="false" customHeight="true" outlineLevel="1" collapsed="false">
      <c r="A36" s="94"/>
      <c r="B36" s="89"/>
      <c r="C36" s="90"/>
      <c r="D36" s="91" t="str">
        <f aca="false">IF(C36="","",IF(G36&lt;&gt;"",G36,IF(ISNUMBER(E35),WORKDAY(E35,1),Settings!$C$36)))</f>
        <v/>
      </c>
      <c r="E36" s="91" t="str">
        <f aca="false">IF(D36="","",WORKDAY(D36,MAX(C36,1)-1))</f>
        <v/>
      </c>
      <c r="F36" s="95"/>
      <c r="G36" s="90"/>
      <c r="H36" s="90"/>
      <c r="I36" s="93"/>
    </row>
    <row r="37" customFormat="false" ht="15" hidden="false" customHeight="true" outlineLevel="0" collapsed="false">
      <c r="A37" s="82" t="n">
        <v>12</v>
      </c>
      <c r="B37" s="83" t="s">
        <v>406</v>
      </c>
      <c r="C37" s="84" t="str">
        <f aca="false">IFERROR(NETWORKDAYS(D37,E37),"")</f>
        <v/>
      </c>
      <c r="D37" s="85" t="str">
        <f aca="false">IF(COUNT(D38:D39)=0,"",MIN(D38:D39))</f>
        <v/>
      </c>
      <c r="E37" s="85" t="str">
        <f aca="false">IF(COUNT(E38:E39)=0,"",MAX(E38:E39))</f>
        <v/>
      </c>
      <c r="F37" s="96"/>
      <c r="G37" s="96"/>
      <c r="H37" s="84" t="str">
        <f aca="false">IF(I37&gt;=1,"Complete",IF(I37&gt;0,"In Progress","Not Started"))</f>
        <v>Not Started</v>
      </c>
      <c r="I37" s="87" t="n">
        <f aca="false">IFERROR(SUMPRODUCT((B38:B39&lt;&gt;"")*I38:I39)/SUMPRODUCT((B38:B39&lt;&gt;"")*1),0)</f>
        <v>0</v>
      </c>
    </row>
    <row r="38" customFormat="false" ht="15" hidden="false" customHeight="true" outlineLevel="1" collapsed="false">
      <c r="A38" s="97"/>
      <c r="B38" s="89"/>
      <c r="C38" s="90"/>
      <c r="D38" s="91" t="str">
        <f aca="false">IF(C38="","",IF(G38&lt;&gt;"",G38,IF(ISNUMBER(E36),WORKDAY(E36,1),Settings!$C$36)))</f>
        <v/>
      </c>
      <c r="E38" s="91" t="str">
        <f aca="false">IF(D38="","",WORKDAY(D38,MAX(C38,1)-1))</f>
        <v/>
      </c>
      <c r="F38" s="95"/>
      <c r="G38" s="90"/>
      <c r="H38" s="90"/>
      <c r="I38" s="93"/>
    </row>
    <row r="39" customFormat="false" ht="15" hidden="false" customHeight="true" outlineLevel="1" collapsed="false">
      <c r="A39" s="88"/>
      <c r="B39" s="89"/>
      <c r="C39" s="90"/>
      <c r="D39" s="91" t="str">
        <f aca="false">IF(C39="","",IF(G39&lt;&gt;"",G39,IF(ISNUMBER(E38),WORKDAY(E38,1),Settings!$C$36)))</f>
        <v/>
      </c>
      <c r="E39" s="91" t="str">
        <f aca="false">IF(D39="","",WORKDAY(D39,MAX(C39,1)-1))</f>
        <v/>
      </c>
      <c r="F39" s="95"/>
      <c r="G39" s="90"/>
      <c r="H39" s="90"/>
      <c r="I39" s="93"/>
    </row>
    <row r="40" customFormat="false" ht="15" hidden="false" customHeight="true" outlineLevel="1" collapsed="false">
      <c r="A40" s="82" t="n">
        <v>13</v>
      </c>
      <c r="B40" s="83" t="s">
        <v>407</v>
      </c>
      <c r="C40" s="84" t="str">
        <f aca="false">IFERROR(NETWORKDAYS(D40,E40),"")</f>
        <v/>
      </c>
      <c r="D40" s="85" t="str">
        <f aca="false">IF(COUNT(D41:D42)=0,"",MIN(D41:D42))</f>
        <v/>
      </c>
      <c r="E40" s="85" t="str">
        <f aca="false">IF(COUNT(E41:E42)=0,"",MAX(E41:E42))</f>
        <v/>
      </c>
      <c r="F40" s="96"/>
      <c r="G40" s="86"/>
      <c r="H40" s="84" t="str">
        <f aca="false">IF(I40&gt;=1,"Complete",IF(I40&gt;0,"In Progress","Not Started"))</f>
        <v>Not Started</v>
      </c>
      <c r="I40" s="87" t="n">
        <f aca="false">IFERROR(SUMPRODUCT((B41:B42&lt;&gt;"")*I41:I42)/SUMPRODUCT((B41:B42&lt;&gt;"")*1),0)</f>
        <v>0</v>
      </c>
    </row>
    <row r="41" customFormat="false" ht="15" hidden="false" customHeight="true" outlineLevel="1" collapsed="false">
      <c r="A41" s="88"/>
      <c r="B41" s="89"/>
      <c r="C41" s="90"/>
      <c r="D41" s="91" t="str">
        <f aca="false">IF(C41="","",IF(G41&lt;&gt;"",G41,IF(ISNUMBER(E39),WORKDAY(E39,1),Settings!$C$36)))</f>
        <v/>
      </c>
      <c r="E41" s="91" t="str">
        <f aca="false">IF(D41="","",WORKDAY(D41,MAX(C41,1)-1))</f>
        <v/>
      </c>
      <c r="F41" s="95"/>
      <c r="G41" s="90"/>
      <c r="H41" s="90"/>
      <c r="I41" s="93"/>
    </row>
    <row r="42" customFormat="false" ht="15" hidden="false" customHeight="true" outlineLevel="1" collapsed="false">
      <c r="A42" s="94"/>
      <c r="B42" s="89"/>
      <c r="C42" s="90"/>
      <c r="D42" s="91" t="str">
        <f aca="false">IF(C42="","",IF(G42&lt;&gt;"",G42,IF(ISNUMBER(E41),WORKDAY(E41,1),Settings!$C$36)))</f>
        <v/>
      </c>
      <c r="E42" s="91" t="str">
        <f aca="false">IF(D42="","",WORKDAY(D42,MAX(C42,1)-1))</f>
        <v/>
      </c>
      <c r="F42" s="95"/>
      <c r="G42" s="90"/>
      <c r="H42" s="90"/>
      <c r="I42" s="93"/>
    </row>
    <row r="43" customFormat="false" ht="15" hidden="false" customHeight="true" outlineLevel="0" collapsed="false">
      <c r="A43" s="82" t="n">
        <v>14</v>
      </c>
      <c r="B43" s="83" t="s">
        <v>408</v>
      </c>
      <c r="C43" s="84" t="str">
        <f aca="false">IFERROR(NETWORKDAYS(D43,E43),"")</f>
        <v/>
      </c>
      <c r="D43" s="85" t="str">
        <f aca="false">IF(COUNT(D44:D45)=0,"",MIN(D44:D45))</f>
        <v/>
      </c>
      <c r="E43" s="85" t="str">
        <f aca="false">IF(COUNT(E44:E45)=0,"",MAX(E44:E45))</f>
        <v/>
      </c>
      <c r="F43" s="96"/>
      <c r="G43" s="96"/>
      <c r="H43" s="84" t="str">
        <f aca="false">IF(I43&gt;=1,"Complete",IF(I43&gt;0,"In Progress","Not Started"))</f>
        <v>Not Started</v>
      </c>
      <c r="I43" s="87" t="n">
        <f aca="false">IFERROR(SUMPRODUCT((B44:B45&lt;&gt;"")*I44:I45)/SUMPRODUCT((B44:B45&lt;&gt;"")*1),0)</f>
        <v>0</v>
      </c>
    </row>
    <row r="44" customFormat="false" ht="15" hidden="false" customHeight="true" outlineLevel="1" collapsed="false">
      <c r="A44" s="94"/>
      <c r="B44" s="89"/>
      <c r="C44" s="90"/>
      <c r="D44" s="91" t="str">
        <f aca="false">IF(C44="","",IF(G44&lt;&gt;"",G44,IF(ISNUMBER(E42),WORKDAY(E42,1),Settings!$C$36)))</f>
        <v/>
      </c>
      <c r="E44" s="91" t="str">
        <f aca="false">IF(D44="","",WORKDAY(D44,MAX(C44,1)-1))</f>
        <v/>
      </c>
      <c r="F44" s="95"/>
      <c r="G44" s="90"/>
      <c r="H44" s="90"/>
      <c r="I44" s="93"/>
    </row>
    <row r="45" customFormat="false" ht="15" hidden="false" customHeight="true" outlineLevel="1" collapsed="false">
      <c r="A45" s="88"/>
      <c r="B45" s="89"/>
      <c r="C45" s="90"/>
      <c r="D45" s="91" t="str">
        <f aca="false">IF(C45="","",IF(G45&lt;&gt;"",G45,IF(ISNUMBER(E44),WORKDAY(E44,1),Settings!$C$36)))</f>
        <v/>
      </c>
      <c r="E45" s="91" t="str">
        <f aca="false">IF(D45="","",WORKDAY(D45,MAX(C45,1)-1))</f>
        <v/>
      </c>
      <c r="F45" s="95"/>
      <c r="G45" s="90"/>
      <c r="H45" s="90"/>
      <c r="I45" s="93"/>
    </row>
    <row r="46" customFormat="false" ht="15" hidden="false" customHeight="true" outlineLevel="1" collapsed="false">
      <c r="A46" s="82" t="n">
        <v>15</v>
      </c>
      <c r="B46" s="83" t="s">
        <v>409</v>
      </c>
      <c r="C46" s="84" t="str">
        <f aca="false">IFERROR(NETWORKDAYS(D46,E46),"")</f>
        <v/>
      </c>
      <c r="D46" s="85" t="str">
        <f aca="false">IF(COUNT(D47:D48)=0,"",MIN(D47:D48))</f>
        <v/>
      </c>
      <c r="E46" s="85" t="str">
        <f aca="false">IF(COUNT(E47:E48)=0,"",MAX(E47:E48))</f>
        <v/>
      </c>
      <c r="F46" s="96"/>
      <c r="G46" s="86"/>
      <c r="H46" s="84" t="str">
        <f aca="false">IF(I46&gt;=1,"Complete",IF(I46&gt;0,"In Progress","Not Started"))</f>
        <v>Not Started</v>
      </c>
      <c r="I46" s="87" t="n">
        <f aca="false">IFERROR(SUMPRODUCT((B47:B48&lt;&gt;"")*I47:I48)/SUMPRODUCT((B47:B48&lt;&gt;"")*1),0)</f>
        <v>0</v>
      </c>
    </row>
    <row r="47" customFormat="false" ht="15" hidden="false" customHeight="true" outlineLevel="1" collapsed="false">
      <c r="A47" s="94"/>
      <c r="B47" s="89"/>
      <c r="C47" s="90"/>
      <c r="D47" s="91" t="str">
        <f aca="false">IF(C47="","",IF(G47&lt;&gt;"",G47,IF(ISNUMBER(E45),WORKDAY(E45,1),Settings!$C$36)))</f>
        <v/>
      </c>
      <c r="E47" s="91" t="str">
        <f aca="false">IF(D47="","",WORKDAY(D47,MAX(C47,1)-1))</f>
        <v/>
      </c>
      <c r="F47" s="95"/>
      <c r="G47" s="90"/>
      <c r="H47" s="90"/>
      <c r="I47" s="93"/>
    </row>
    <row r="48" customFormat="false" ht="15" hidden="false" customHeight="true" outlineLevel="1" collapsed="false">
      <c r="A48" s="88"/>
      <c r="B48" s="89"/>
      <c r="C48" s="90"/>
      <c r="D48" s="91" t="str">
        <f aca="false">IF(C48="","",IF(G48&lt;&gt;"",G48,IF(ISNUMBER(E47),WORKDAY(E47,1),Settings!$C$36)))</f>
        <v/>
      </c>
      <c r="E48" s="91" t="str">
        <f aca="false">IF(D48="","",WORKDAY(D48,MAX(C48,1)-1))</f>
        <v/>
      </c>
      <c r="F48" s="95"/>
      <c r="G48" s="90"/>
      <c r="H48" s="90"/>
      <c r="I48" s="93"/>
    </row>
    <row r="49" customFormat="false" ht="15" hidden="false" customHeight="true" outlineLevel="1" collapsed="false">
      <c r="A49" s="82" t="n">
        <v>16</v>
      </c>
      <c r="B49" s="83" t="s">
        <v>410</v>
      </c>
      <c r="C49" s="84" t="str">
        <f aca="false">IFERROR(NETWORKDAYS(D49,E49),"")</f>
        <v/>
      </c>
      <c r="D49" s="85" t="str">
        <f aca="false">IF(COUNT(D50:D51)=0,"",MIN(D50:D51))</f>
        <v/>
      </c>
      <c r="E49" s="85" t="str">
        <f aca="false">IF(COUNT(E50:E51)=0,"",MAX(E50:E51))</f>
        <v/>
      </c>
      <c r="F49" s="96"/>
      <c r="G49" s="86"/>
      <c r="H49" s="84" t="str">
        <f aca="false">IF(I49&gt;=1,"Complete",IF(I49&gt;0,"In Progress","Not Started"))</f>
        <v>Not Started</v>
      </c>
      <c r="I49" s="87" t="n">
        <f aca="false">IFERROR(SUMPRODUCT((B50:B51&lt;&gt;"")*I50:I51)/SUMPRODUCT((B50:B51&lt;&gt;"")*1),0)</f>
        <v>0</v>
      </c>
    </row>
    <row r="50" customFormat="false" ht="15" hidden="false" customHeight="true" outlineLevel="1" collapsed="false">
      <c r="A50" s="94"/>
      <c r="B50" s="89"/>
      <c r="C50" s="90"/>
      <c r="D50" s="91" t="str">
        <f aca="false">IF(C50="","",IF(G50&lt;&gt;"",G50,IF(ISNUMBER(E48),WORKDAY(E48,1),Settings!$C$36)))</f>
        <v/>
      </c>
      <c r="E50" s="91" t="str">
        <f aca="false">IF(D50="","",WORKDAY(D50,MAX(C50,1)-1))</f>
        <v/>
      </c>
      <c r="F50" s="95"/>
      <c r="G50" s="90"/>
      <c r="H50" s="90"/>
      <c r="I50" s="93"/>
    </row>
    <row r="51" customFormat="false" ht="15" hidden="false" customHeight="true" outlineLevel="1" collapsed="false">
      <c r="A51" s="88"/>
      <c r="B51" s="89"/>
      <c r="C51" s="90"/>
      <c r="D51" s="91" t="str">
        <f aca="false">IF(C51="","",IF(G51&lt;&gt;"",G51,IF(ISNUMBER(E50),WORKDAY(E50,1),Settings!$C$36)))</f>
        <v/>
      </c>
      <c r="E51" s="91" t="str">
        <f aca="false">IF(D51="","",WORKDAY(D51,MAX(C51,1)-1))</f>
        <v/>
      </c>
      <c r="F51" s="95"/>
      <c r="G51" s="90"/>
      <c r="H51" s="90"/>
      <c r="I51" s="93"/>
    </row>
    <row r="52" customFormat="false" ht="15" hidden="false" customHeight="true" outlineLevel="1" collapsed="false">
      <c r="A52" s="82" t="n">
        <v>17</v>
      </c>
      <c r="B52" s="83" t="s">
        <v>411</v>
      </c>
      <c r="C52" s="84" t="str">
        <f aca="false">IFERROR(NETWORKDAYS(D52,E52),"")</f>
        <v/>
      </c>
      <c r="D52" s="85" t="str">
        <f aca="false">IF(COUNT(D53:D54)=0,"",MIN(D53:D54))</f>
        <v/>
      </c>
      <c r="E52" s="85" t="str">
        <f aca="false">IF(COUNT(E53:E54)=0,"",MAX(E53:E54))</f>
        <v/>
      </c>
      <c r="F52" s="96"/>
      <c r="G52" s="86"/>
      <c r="H52" s="84" t="str">
        <f aca="false">IF(I52&gt;=1,"Complete",IF(I52&gt;0,"In Progress","Not Started"))</f>
        <v>Not Started</v>
      </c>
      <c r="I52" s="87" t="n">
        <f aca="false">IFERROR(SUMPRODUCT((B53:B54&lt;&gt;"")*I53:I54)/SUMPRODUCT((B53:B54&lt;&gt;"")*1),0)</f>
        <v>0</v>
      </c>
    </row>
    <row r="53" customFormat="false" ht="15" hidden="false" customHeight="true" outlineLevel="1" collapsed="false">
      <c r="A53" s="88"/>
      <c r="B53" s="89"/>
      <c r="C53" s="90"/>
      <c r="D53" s="91" t="str">
        <f aca="false">IF(C53="","",IF(G53&lt;&gt;"",G53,IF(ISNUMBER(E51),WORKDAY(E51,1),Settings!$C$36)))</f>
        <v/>
      </c>
      <c r="E53" s="91" t="str">
        <f aca="false">IF(D53="","",WORKDAY(D53,MAX(C53,1)-1))</f>
        <v/>
      </c>
      <c r="F53" s="95"/>
      <c r="G53" s="90"/>
      <c r="H53" s="90"/>
      <c r="I53" s="93"/>
    </row>
    <row r="54" customFormat="false" ht="15" hidden="false" customHeight="true" outlineLevel="1" collapsed="false">
      <c r="A54" s="94"/>
      <c r="B54" s="89"/>
      <c r="C54" s="90"/>
      <c r="D54" s="91" t="str">
        <f aca="false">IF(C54="","",IF(G54&lt;&gt;"",G54,IF(ISNUMBER(E53),WORKDAY(E53,1),Settings!$C$36)))</f>
        <v/>
      </c>
      <c r="E54" s="91" t="str">
        <f aca="false">IF(D54="","",WORKDAY(D54,MAX(C54,1)-1))</f>
        <v/>
      </c>
      <c r="F54" s="95"/>
      <c r="G54" s="90"/>
      <c r="H54" s="90"/>
      <c r="I54" s="93"/>
    </row>
    <row r="55" customFormat="false" ht="15" hidden="false" customHeight="true" outlineLevel="0" collapsed="false">
      <c r="A55" s="82" t="n">
        <v>18</v>
      </c>
      <c r="B55" s="83" t="s">
        <v>412</v>
      </c>
      <c r="C55" s="84" t="str">
        <f aca="false">IFERROR(NETWORKDAYS(D55,E55),"")</f>
        <v/>
      </c>
      <c r="D55" s="85" t="str">
        <f aca="false">IF(COUNT(D56:D57)=0,"",MIN(D56:D57))</f>
        <v/>
      </c>
      <c r="E55" s="85" t="str">
        <f aca="false">IF(COUNT(E56:E57)=0,"",MAX(E56:E57))</f>
        <v/>
      </c>
      <c r="F55" s="96"/>
      <c r="G55" s="96"/>
      <c r="H55" s="84" t="str">
        <f aca="false">IF(I55&gt;=1,"Complete",IF(I55&gt;0,"In Progress","Not Started"))</f>
        <v>Not Started</v>
      </c>
      <c r="I55" s="87" t="n">
        <f aca="false">IFERROR(SUMPRODUCT((B56:B57&lt;&gt;"")*I56:I57)/SUMPRODUCT((B56:B57&lt;&gt;"")*1),0)</f>
        <v>0</v>
      </c>
    </row>
    <row r="56" customFormat="false" ht="15" hidden="false" customHeight="true" outlineLevel="1" collapsed="false">
      <c r="A56" s="94"/>
      <c r="B56" s="89"/>
      <c r="C56" s="90"/>
      <c r="D56" s="91" t="str">
        <f aca="false">IF(C56="","",IF(G56&lt;&gt;"",G56,IF(ISNUMBER(E54),WORKDAY(E54,1),Settings!$C$36)))</f>
        <v/>
      </c>
      <c r="E56" s="91" t="str">
        <f aca="false">IF(D56="","",WORKDAY(D56,MAX(C56,1)-1))</f>
        <v/>
      </c>
      <c r="F56" s="95"/>
      <c r="G56" s="90"/>
      <c r="H56" s="90"/>
      <c r="I56" s="93"/>
    </row>
    <row r="57" customFormat="false" ht="15" hidden="false" customHeight="true" outlineLevel="1" collapsed="false">
      <c r="A57" s="88"/>
      <c r="B57" s="89"/>
      <c r="C57" s="90"/>
      <c r="D57" s="91" t="str">
        <f aca="false">IF(C57="","",IF(G57&lt;&gt;"",G57,IF(ISNUMBER(E56),WORKDAY(E56,1),Settings!$C$36)))</f>
        <v/>
      </c>
      <c r="E57" s="91" t="str">
        <f aca="false">IF(D57="","",WORKDAY(D57,MAX(C57,1)-1))</f>
        <v/>
      </c>
      <c r="F57" s="95"/>
      <c r="G57" s="90"/>
      <c r="H57" s="90"/>
      <c r="I57" s="93"/>
    </row>
    <row r="58" customFormat="false" ht="15" hidden="false" customHeight="true" outlineLevel="1" collapsed="false">
      <c r="A58" s="82" t="n">
        <v>19</v>
      </c>
      <c r="B58" s="83" t="s">
        <v>413</v>
      </c>
      <c r="C58" s="84" t="str">
        <f aca="false">IFERROR(NETWORKDAYS(D58,E58),"")</f>
        <v/>
      </c>
      <c r="D58" s="85" t="str">
        <f aca="false">IF(COUNT(D59:D60)=0,"",MIN(D59:D60))</f>
        <v/>
      </c>
      <c r="E58" s="85" t="str">
        <f aca="false">IF(COUNT(E59:E60)=0,"",MAX(E59:E60))</f>
        <v/>
      </c>
      <c r="F58" s="96"/>
      <c r="G58" s="86"/>
      <c r="H58" s="84" t="str">
        <f aca="false">IF(I58&gt;=1,"Complete",IF(I58&gt;0,"In Progress","Not Started"))</f>
        <v>Not Started</v>
      </c>
      <c r="I58" s="87" t="n">
        <f aca="false">IFERROR(SUMPRODUCT((B59:B60&lt;&gt;"")*I59:I60)/SUMPRODUCT((B59:B60&lt;&gt;"")*1),0)</f>
        <v>0</v>
      </c>
    </row>
    <row r="59" customFormat="false" ht="15" hidden="false" customHeight="true" outlineLevel="1" collapsed="false">
      <c r="A59" s="94"/>
      <c r="B59" s="89"/>
      <c r="C59" s="90"/>
      <c r="D59" s="91" t="str">
        <f aca="false">IF(C59="","",IF(G59&lt;&gt;"",G59,IF(ISNUMBER(E57),WORKDAY(E57,1),Settings!$C$36)))</f>
        <v/>
      </c>
      <c r="E59" s="91" t="str">
        <f aca="false">IF(D59="","",WORKDAY(D59,MAX(C59,1)-1))</f>
        <v/>
      </c>
      <c r="F59" s="95"/>
      <c r="G59" s="90"/>
      <c r="H59" s="90"/>
      <c r="I59" s="93"/>
    </row>
    <row r="60" customFormat="false" ht="15" hidden="false" customHeight="true" outlineLevel="1" collapsed="false">
      <c r="A60" s="94"/>
      <c r="B60" s="89"/>
      <c r="C60" s="90"/>
      <c r="D60" s="91" t="str">
        <f aca="false">IF(C60="","",IF(G60&lt;&gt;"",G60,IF(ISNUMBER(E59),WORKDAY(E59,1),Settings!$C$36)))</f>
        <v/>
      </c>
      <c r="E60" s="91" t="str">
        <f aca="false">IF(D60="","",WORKDAY(D60,MAX(C60,1)-1))</f>
        <v/>
      </c>
      <c r="F60" s="95"/>
      <c r="G60" s="90"/>
      <c r="H60" s="90"/>
      <c r="I60" s="93"/>
    </row>
    <row r="61" customFormat="false" ht="15" hidden="false" customHeight="true" outlineLevel="0" collapsed="false">
      <c r="A61" s="82" t="n">
        <v>20</v>
      </c>
      <c r="B61" s="83" t="s">
        <v>414</v>
      </c>
      <c r="C61" s="84" t="str">
        <f aca="false">IFERROR(NETWORKDAYS(D61,E61),"")</f>
        <v/>
      </c>
      <c r="D61" s="85" t="str">
        <f aca="false">IF(COUNT(D62:D63)=0,"",MIN(D62:D63))</f>
        <v/>
      </c>
      <c r="E61" s="85" t="str">
        <f aca="false">IF(COUNT(E62:E63)=0,"",MAX(E62:E63))</f>
        <v/>
      </c>
      <c r="F61" s="96"/>
      <c r="G61" s="96"/>
      <c r="H61" s="84" t="str">
        <f aca="false">IF(I61&gt;=1,"Complete",IF(I61&gt;0,"In Progress","Not Started"))</f>
        <v>Not Started</v>
      </c>
      <c r="I61" s="87" t="n">
        <f aca="false">IFERROR(SUMPRODUCT((B62:B63&lt;&gt;"")*I62:I63)/SUMPRODUCT((B62:B63&lt;&gt;"")*1),0)</f>
        <v>0</v>
      </c>
    </row>
    <row r="62" customFormat="false" ht="15" hidden="false" customHeight="true" outlineLevel="1" collapsed="false">
      <c r="A62" s="94"/>
      <c r="B62" s="89"/>
      <c r="C62" s="90"/>
      <c r="D62" s="91" t="str">
        <f aca="false">IF(C62="","",IF(G62&lt;&gt;"",G62,IF(ISNUMBER(E60),WORKDAY(E60,1),Settings!$C$36)))</f>
        <v/>
      </c>
      <c r="E62" s="91" t="str">
        <f aca="false">IF(D62="","",WORKDAY(D62,MAX(C62,1)-1))</f>
        <v/>
      </c>
      <c r="F62" s="95"/>
      <c r="G62" s="90"/>
      <c r="H62" s="90"/>
      <c r="I62" s="93"/>
    </row>
    <row r="63" customFormat="false" ht="15" hidden="false" customHeight="true" outlineLevel="1" collapsed="false">
      <c r="A63" s="88"/>
      <c r="B63" s="89"/>
      <c r="C63" s="90"/>
      <c r="D63" s="91" t="str">
        <f aca="false">IF(C63="","",IF(G63&lt;&gt;"",G63,IF(ISNUMBER(E62),WORKDAY(E62,1),Settings!$C$36)))</f>
        <v/>
      </c>
      <c r="E63" s="91" t="str">
        <f aca="false">IF(D63="","",WORKDAY(D63,MAX(C63,1)-1))</f>
        <v/>
      </c>
      <c r="F63" s="95"/>
      <c r="G63" s="90"/>
      <c r="H63" s="90"/>
      <c r="I63" s="93"/>
    </row>
    <row r="64" customFormat="false" ht="15" hidden="false" customHeight="true" outlineLevel="1" collapsed="false">
      <c r="A64" s="82" t="n">
        <v>21</v>
      </c>
      <c r="B64" s="83" t="s">
        <v>415</v>
      </c>
      <c r="C64" s="84" t="str">
        <f aca="false">IFERROR(NETWORKDAYS(D64,E64),"")</f>
        <v/>
      </c>
      <c r="D64" s="85" t="str">
        <f aca="false">IF(COUNT(D65:D66)=0,"",MIN(D65:D66))</f>
        <v/>
      </c>
      <c r="E64" s="85" t="str">
        <f aca="false">IF(COUNT(E65:E66)=0,"",MAX(E65:E66))</f>
        <v/>
      </c>
      <c r="F64" s="96"/>
      <c r="G64" s="86"/>
      <c r="H64" s="84" t="str">
        <f aca="false">IF(I64&gt;=1,"Complete",IF(I64&gt;0,"In Progress","Not Started"))</f>
        <v>Not Started</v>
      </c>
      <c r="I64" s="87" t="n">
        <f aca="false">IFERROR(SUMPRODUCT((B65:B66&lt;&gt;"")*I65:I66)/SUMPRODUCT((B65:B66&lt;&gt;"")*1),0)</f>
        <v>0</v>
      </c>
    </row>
    <row r="65" customFormat="false" ht="15" hidden="false" customHeight="true" outlineLevel="1" collapsed="false">
      <c r="A65" s="94"/>
      <c r="B65" s="89"/>
      <c r="C65" s="90"/>
      <c r="D65" s="91" t="str">
        <f aca="false">IF(C65="","",IF(G65&lt;&gt;"",G65,IF(ISNUMBER(E63),WORKDAY(E63,1),Settings!$C$36)))</f>
        <v/>
      </c>
      <c r="E65" s="91" t="str">
        <f aca="false">IF(D65="","",WORKDAY(D65,MAX(C65,1)-1))</f>
        <v/>
      </c>
      <c r="F65" s="95"/>
      <c r="G65" s="90"/>
      <c r="H65" s="90"/>
      <c r="I65" s="93"/>
    </row>
    <row r="66" customFormat="false" ht="15" hidden="false" customHeight="true" outlineLevel="1" collapsed="false">
      <c r="A66" s="94"/>
      <c r="B66" s="89"/>
      <c r="C66" s="90"/>
      <c r="D66" s="91" t="str">
        <f aca="false">IF(C66="","",IF(G66&lt;&gt;"",G66,IF(ISNUMBER(E65),WORKDAY(E65,1),Settings!$C$36)))</f>
        <v/>
      </c>
      <c r="E66" s="91" t="str">
        <f aca="false">IF(D66="","",WORKDAY(D66,MAX(C66,1)-1))</f>
        <v/>
      </c>
      <c r="F66" s="95"/>
      <c r="G66" s="90"/>
      <c r="H66" s="90"/>
      <c r="I66" s="93"/>
    </row>
    <row r="67" customFormat="false" ht="15" hidden="false" customHeight="true" outlineLevel="0" collapsed="false">
      <c r="A67" s="82" t="n">
        <v>22</v>
      </c>
      <c r="B67" s="83" t="s">
        <v>416</v>
      </c>
      <c r="C67" s="84" t="str">
        <f aca="false">IFERROR(NETWORKDAYS(D67,E67),"")</f>
        <v/>
      </c>
      <c r="D67" s="85" t="str">
        <f aca="false">IF(COUNT(D68:D69)=0,"",MIN(D68:D69))</f>
        <v/>
      </c>
      <c r="E67" s="85" t="str">
        <f aca="false">IF(COUNT(E68:E69)=0,"",MAX(E68:E69))</f>
        <v/>
      </c>
      <c r="F67" s="96"/>
      <c r="G67" s="96"/>
      <c r="H67" s="84" t="str">
        <f aca="false">IF(I67&gt;=1,"Complete",IF(I67&gt;0,"In Progress","Not Started"))</f>
        <v>Not Started</v>
      </c>
      <c r="I67" s="87" t="n">
        <f aca="false">IFERROR(SUMPRODUCT((B68:B69&lt;&gt;"")*I68:I69)/SUMPRODUCT((B68:B69&lt;&gt;"")*1),0)</f>
        <v>0</v>
      </c>
    </row>
    <row r="68" customFormat="false" ht="15" hidden="false" customHeight="true" outlineLevel="1" collapsed="false">
      <c r="A68" s="94"/>
      <c r="B68" s="89"/>
      <c r="C68" s="90"/>
      <c r="D68" s="91" t="str">
        <f aca="false">IF(C68="","",IF(G68&lt;&gt;"",G68,IF(ISNUMBER(E66),WORKDAY(E66,1),Settings!$C$36)))</f>
        <v/>
      </c>
      <c r="E68" s="91" t="str">
        <f aca="false">IF(D68="","",WORKDAY(D68,MAX(C68,1)-1))</f>
        <v/>
      </c>
      <c r="F68" s="95"/>
      <c r="G68" s="90"/>
      <c r="H68" s="90"/>
      <c r="I68" s="93"/>
    </row>
    <row r="69" customFormat="false" ht="15" hidden="false" customHeight="true" outlineLevel="1" collapsed="false">
      <c r="A69" s="94"/>
      <c r="B69" s="89"/>
      <c r="C69" s="90"/>
      <c r="D69" s="91" t="str">
        <f aca="false">IF(C69="","",IF(G69&lt;&gt;"",G69,IF(ISNUMBER(E68),WORKDAY(E68,1),Settings!$C$36)))</f>
        <v/>
      </c>
      <c r="E69" s="91" t="str">
        <f aca="false">IF(D69="","",WORKDAY(D69,MAX(C69,1)-1))</f>
        <v/>
      </c>
      <c r="F69" s="95"/>
      <c r="G69" s="90"/>
      <c r="H69" s="90"/>
      <c r="I69" s="93"/>
    </row>
    <row r="70" customFormat="false" ht="15" hidden="false" customHeight="true" outlineLevel="1" collapsed="false">
      <c r="A70" s="82" t="n">
        <v>23</v>
      </c>
      <c r="B70" s="83" t="s">
        <v>417</v>
      </c>
      <c r="C70" s="84" t="str">
        <f aca="false">IFERROR(NETWORKDAYS(D70,E70),"")</f>
        <v/>
      </c>
      <c r="D70" s="85" t="str">
        <f aca="false">IF(COUNT(D71:D72)=0,"",MIN(D71:D72))</f>
        <v/>
      </c>
      <c r="E70" s="85" t="str">
        <f aca="false">IF(COUNT(E71:E72)=0,"",MAX(E71:E72))</f>
        <v/>
      </c>
      <c r="F70" s="96"/>
      <c r="G70" s="86"/>
      <c r="H70" s="84" t="str">
        <f aca="false">IF(I70&gt;=1,"Complete",IF(I70&gt;0,"In Progress","Not Started"))</f>
        <v>Not Started</v>
      </c>
      <c r="I70" s="87" t="n">
        <f aca="false">IFERROR(SUMPRODUCT((B71:B72&lt;&gt;"")*I71:I72)/SUMPRODUCT((B71:B72&lt;&gt;"")*1),0)</f>
        <v>0</v>
      </c>
    </row>
    <row r="71" customFormat="false" ht="15" hidden="false" customHeight="true" outlineLevel="1" collapsed="false">
      <c r="A71" s="88"/>
      <c r="B71" s="89"/>
      <c r="C71" s="90"/>
      <c r="D71" s="91" t="str">
        <f aca="false">IF(C71="","",IF(G71&lt;&gt;"",G71,IF(ISNUMBER(E69),WORKDAY(E69,1),Settings!$C$36)))</f>
        <v/>
      </c>
      <c r="E71" s="91" t="str">
        <f aca="false">IF(D71="","",WORKDAY(D71,MAX(C71,1)-1))</f>
        <v/>
      </c>
      <c r="F71" s="95"/>
      <c r="G71" s="90"/>
      <c r="H71" s="90"/>
      <c r="I71" s="93"/>
    </row>
    <row r="72" customFormat="false" ht="15" hidden="false" customHeight="true" outlineLevel="1" collapsed="false">
      <c r="A72" s="94"/>
      <c r="B72" s="89"/>
      <c r="C72" s="90"/>
      <c r="D72" s="91" t="str">
        <f aca="false">IF(C72="","",IF(G72&lt;&gt;"",G72,IF(ISNUMBER(E71),WORKDAY(E71,1),Settings!$C$36)))</f>
        <v/>
      </c>
      <c r="E72" s="91" t="str">
        <f aca="false">IF(D72="","",WORKDAY(D72,MAX(C72,1)-1))</f>
        <v/>
      </c>
      <c r="F72" s="95"/>
      <c r="G72" s="90"/>
      <c r="H72" s="90"/>
      <c r="I72" s="93"/>
    </row>
    <row r="73" customFormat="false" ht="15" hidden="false" customHeight="true" outlineLevel="1" collapsed="false">
      <c r="A73" s="82" t="n">
        <v>24</v>
      </c>
      <c r="B73" s="83" t="s">
        <v>418</v>
      </c>
      <c r="C73" s="84" t="str">
        <f aca="false">IFERROR(NETWORKDAYS(D73,E73),"")</f>
        <v/>
      </c>
      <c r="D73" s="85" t="str">
        <f aca="false">IF(COUNT(D74:D75)=0,"",MIN(D74:D75))</f>
        <v/>
      </c>
      <c r="E73" s="85" t="str">
        <f aca="false">IF(COUNT(E74:E75)=0,"",MAX(E74:E75))</f>
        <v/>
      </c>
      <c r="F73" s="96"/>
      <c r="G73" s="86"/>
      <c r="H73" s="84" t="str">
        <f aca="false">IF(I73&gt;=1,"Complete",IF(I73&gt;0,"In Progress","Not Started"))</f>
        <v>Not Started</v>
      </c>
      <c r="I73" s="87" t="n">
        <f aca="false">IFERROR(SUMPRODUCT((B74:B75&lt;&gt;"")*I74:I75)/SUMPRODUCT((B74:B75&lt;&gt;"")*1),0)</f>
        <v>0</v>
      </c>
    </row>
    <row r="74" customFormat="false" ht="15" hidden="false" customHeight="true" outlineLevel="1" collapsed="false">
      <c r="A74" s="94"/>
      <c r="B74" s="89"/>
      <c r="C74" s="90"/>
      <c r="D74" s="91" t="str">
        <f aca="false">IF(C74="","",IF(G74&lt;&gt;"",G74,IF(ISNUMBER(E72),WORKDAY(E72,1),Settings!$C$36)))</f>
        <v/>
      </c>
      <c r="E74" s="91" t="str">
        <f aca="false">IF(D74="","",WORKDAY(D74,MAX(C74,1)-1))</f>
        <v/>
      </c>
      <c r="F74" s="95"/>
      <c r="G74" s="90"/>
      <c r="H74" s="90"/>
      <c r="I74" s="93"/>
    </row>
    <row r="75" customFormat="false" ht="15" hidden="false" customHeight="true" outlineLevel="1" collapsed="false">
      <c r="A75" s="94"/>
      <c r="B75" s="89"/>
      <c r="C75" s="90"/>
      <c r="D75" s="91" t="str">
        <f aca="false">IF(C75="","",IF(G75&lt;&gt;"",G75,IF(ISNUMBER(E74),WORKDAY(E74,1),Settings!$C$36)))</f>
        <v/>
      </c>
      <c r="E75" s="91" t="str">
        <f aca="false">IF(D75="","",WORKDAY(D75,MAX(C75,1)-1))</f>
        <v/>
      </c>
      <c r="F75" s="95"/>
      <c r="G75" s="90"/>
      <c r="H75" s="90"/>
      <c r="I75" s="93"/>
    </row>
    <row r="76" customFormat="false" ht="15" hidden="false" customHeight="true" outlineLevel="0" collapsed="false">
      <c r="A76" s="82" t="n">
        <v>25</v>
      </c>
      <c r="B76" s="83" t="s">
        <v>419</v>
      </c>
      <c r="C76" s="84" t="str">
        <f aca="false">IFERROR(NETWORKDAYS(D76,E76),"")</f>
        <v/>
      </c>
      <c r="D76" s="85" t="str">
        <f aca="false">IF(COUNT(D77:D78)=0,"",MIN(D77:D78))</f>
        <v/>
      </c>
      <c r="E76" s="85" t="str">
        <f aca="false">IF(COUNT(E77:E78)=0,"",MAX(E77:E78))</f>
        <v/>
      </c>
      <c r="F76" s="96"/>
      <c r="G76" s="96"/>
      <c r="H76" s="84" t="str">
        <f aca="false">IF(I76&gt;=1,"Complete",IF(I76&gt;0,"In Progress","Not Started"))</f>
        <v>Not Started</v>
      </c>
      <c r="I76" s="87" t="n">
        <f aca="false">IFERROR(SUMPRODUCT((B77:B78&lt;&gt;"")*I77:I78)/SUMPRODUCT((B77:B78&lt;&gt;"")*1),0)</f>
        <v>0</v>
      </c>
    </row>
    <row r="77" customFormat="false" ht="15" hidden="false" customHeight="true" outlineLevel="1" collapsed="false">
      <c r="A77" s="94"/>
      <c r="B77" s="89"/>
      <c r="C77" s="90"/>
      <c r="D77" s="91" t="str">
        <f aca="false">IF(C77="","",IF(G77&lt;&gt;"",G77,IF(ISNUMBER(E75),WORKDAY(E75,1),Settings!$C$36)))</f>
        <v/>
      </c>
      <c r="E77" s="91" t="str">
        <f aca="false">IF(D77="","",WORKDAY(D77,MAX(C77,1)-1))</f>
        <v/>
      </c>
      <c r="F77" s="95"/>
      <c r="G77" s="90"/>
      <c r="H77" s="90"/>
      <c r="I77" s="93"/>
    </row>
    <row r="78" customFormat="false" ht="15" hidden="false" customHeight="true" outlineLevel="1" collapsed="false">
      <c r="A78" s="94"/>
      <c r="B78" s="89"/>
      <c r="C78" s="90"/>
      <c r="D78" s="91" t="str">
        <f aca="false">IF(C78="","",IF(G78&lt;&gt;"",G78,IF(ISNUMBER(E77),WORKDAY(E77,1),Settings!$C$36)))</f>
        <v/>
      </c>
      <c r="E78" s="91" t="str">
        <f aca="false">IF(D78="","",WORKDAY(D78,MAX(C78,1)-1))</f>
        <v/>
      </c>
      <c r="F78" s="95"/>
      <c r="G78" s="90"/>
      <c r="H78" s="90"/>
      <c r="I78" s="93"/>
    </row>
    <row r="79" customFormat="false" ht="15" hidden="false" customHeight="true" outlineLevel="1" collapsed="false">
      <c r="A79" s="82" t="n">
        <v>26</v>
      </c>
      <c r="B79" s="83" t="s">
        <v>420</v>
      </c>
      <c r="C79" s="84" t="str">
        <f aca="false">IFERROR(NETWORKDAYS(D79,E79),"")</f>
        <v/>
      </c>
      <c r="D79" s="85" t="str">
        <f aca="false">IF(COUNT(D80:D81)=0,"",MIN(D80:D81))</f>
        <v/>
      </c>
      <c r="E79" s="85" t="str">
        <f aca="false">IF(COUNT(E80:E81)=0,"",MAX(E80:E81))</f>
        <v/>
      </c>
      <c r="F79" s="96"/>
      <c r="G79" s="86"/>
      <c r="H79" s="84" t="str">
        <f aca="false">IF(I79&gt;=1,"Complete",IF(I79&gt;0,"In Progress","Not Started"))</f>
        <v>Not Started</v>
      </c>
      <c r="I79" s="87" t="n">
        <f aca="false">IFERROR(SUMPRODUCT((B80:B81&lt;&gt;"")*I80:I81)/SUMPRODUCT((B80:B81&lt;&gt;"")*1),0)</f>
        <v>0</v>
      </c>
    </row>
    <row r="80" customFormat="false" ht="15" hidden="false" customHeight="true" outlineLevel="1" collapsed="false">
      <c r="A80" s="94"/>
      <c r="B80" s="89"/>
      <c r="C80" s="90"/>
      <c r="D80" s="91" t="str">
        <f aca="false">IF(C80="","",IF(G80&lt;&gt;"",G80,IF(ISNUMBER(E78),WORKDAY(E78,1),Settings!$C$36)))</f>
        <v/>
      </c>
      <c r="E80" s="91" t="str">
        <f aca="false">IF(D80="","",WORKDAY(D80,MAX(C80,1)-1))</f>
        <v/>
      </c>
      <c r="F80" s="95"/>
      <c r="G80" s="90"/>
      <c r="H80" s="90"/>
      <c r="I80" s="93"/>
    </row>
    <row r="81" customFormat="false" ht="15" hidden="false" customHeight="true" outlineLevel="1" collapsed="false">
      <c r="A81" s="88"/>
      <c r="B81" s="89"/>
      <c r="C81" s="90"/>
      <c r="D81" s="91" t="str">
        <f aca="false">IF(C81="","",IF(G81&lt;&gt;"",G81,IF(ISNUMBER(E80),WORKDAY(E80,1),Settings!$C$36)))</f>
        <v/>
      </c>
      <c r="E81" s="91" t="str">
        <f aca="false">IF(D81="","",WORKDAY(D81,MAX(C81,1)-1))</f>
        <v/>
      </c>
      <c r="F81" s="95"/>
      <c r="G81" s="90"/>
      <c r="H81" s="90"/>
      <c r="I81" s="93"/>
    </row>
    <row r="82" customFormat="false" ht="15" hidden="false" customHeight="true" outlineLevel="1" collapsed="false">
      <c r="A82" s="82" t="n">
        <v>27</v>
      </c>
      <c r="B82" s="83" t="s">
        <v>421</v>
      </c>
      <c r="C82" s="84" t="str">
        <f aca="false">IFERROR(NETWORKDAYS(D82,E82),"")</f>
        <v/>
      </c>
      <c r="D82" s="85" t="str">
        <f aca="false">IF(COUNT(D83:D84)=0,"",MIN(D83:D84))</f>
        <v/>
      </c>
      <c r="E82" s="85" t="str">
        <f aca="false">IF(COUNT(E83:E84)=0,"",MAX(E83:E84))</f>
        <v/>
      </c>
      <c r="F82" s="96"/>
      <c r="G82" s="86"/>
      <c r="H82" s="84" t="str">
        <f aca="false">IF(I82&gt;=1,"Complete",IF(I82&gt;0,"In Progress","Not Started"))</f>
        <v>Not Started</v>
      </c>
      <c r="I82" s="87" t="n">
        <f aca="false">IFERROR(SUMPRODUCT((B83:B84&lt;&gt;"")*I83:I84)/SUMPRODUCT((B83:B84&lt;&gt;"")*1),0)</f>
        <v>0</v>
      </c>
    </row>
    <row r="83" customFormat="false" ht="15" hidden="false" customHeight="true" outlineLevel="1" collapsed="false">
      <c r="A83" s="88"/>
      <c r="B83" s="89"/>
      <c r="C83" s="90"/>
      <c r="D83" s="91" t="str">
        <f aca="false">IF(C83="","",IF(G83&lt;&gt;"",G83,IF(ISNUMBER(E81),WORKDAY(E81,1),Settings!$C$36)))</f>
        <v/>
      </c>
      <c r="E83" s="91" t="str">
        <f aca="false">IF(D83="","",WORKDAY(D83,MAX(C83,1)-1))</f>
        <v/>
      </c>
      <c r="F83" s="95"/>
      <c r="G83" s="90"/>
      <c r="H83" s="90"/>
      <c r="I83" s="93"/>
    </row>
    <row r="84" customFormat="false" ht="15" hidden="false" customHeight="true" outlineLevel="1" collapsed="false">
      <c r="A84" s="94"/>
      <c r="B84" s="89"/>
      <c r="C84" s="90"/>
      <c r="D84" s="91" t="str">
        <f aca="false">IF(C84="","",IF(G84&lt;&gt;"",G84,IF(ISNUMBER(E83),WORKDAY(E83,1),Settings!$C$36)))</f>
        <v/>
      </c>
      <c r="E84" s="91" t="str">
        <f aca="false">IF(D84="","",WORKDAY(D84,MAX(C84,1)-1))</f>
        <v/>
      </c>
      <c r="F84" s="95"/>
      <c r="G84" s="90"/>
      <c r="H84" s="90"/>
      <c r="I84" s="93"/>
    </row>
    <row r="85" customFormat="false" ht="15" hidden="false" customHeight="true" outlineLevel="1" collapsed="false">
      <c r="A85" s="82" t="n">
        <v>28</v>
      </c>
      <c r="B85" s="83" t="s">
        <v>422</v>
      </c>
      <c r="C85" s="84" t="str">
        <f aca="false">IFERROR(NETWORKDAYS(D85,E85),"")</f>
        <v/>
      </c>
      <c r="D85" s="85" t="str">
        <f aca="false">IF(COUNT(D86:D87)=0,"",MIN(D86:D87))</f>
        <v/>
      </c>
      <c r="E85" s="85" t="str">
        <f aca="false">IF(COUNT(E86:E87)=0,"",MAX(E86:E87))</f>
        <v/>
      </c>
      <c r="F85" s="96"/>
      <c r="G85" s="86"/>
      <c r="H85" s="84" t="str">
        <f aca="false">IF(I85&gt;=1,"Complete",IF(I85&gt;0,"In Progress","Not Started"))</f>
        <v>Not Started</v>
      </c>
      <c r="I85" s="87" t="n">
        <f aca="false">IFERROR(SUMPRODUCT((B86:B87&lt;&gt;"")*I86:I87)/SUMPRODUCT((B86:B87&lt;&gt;"")*1),0)</f>
        <v>0</v>
      </c>
    </row>
    <row r="86" customFormat="false" ht="15" hidden="false" customHeight="true" outlineLevel="1" collapsed="false">
      <c r="A86" s="94"/>
      <c r="B86" s="89"/>
      <c r="C86" s="90"/>
      <c r="D86" s="91" t="str">
        <f aca="false">IF(C86="","",IF(G86&lt;&gt;"",G86,IF(ISNUMBER(E84),WORKDAY(E84,1),Settings!$C$36)))</f>
        <v/>
      </c>
      <c r="E86" s="91" t="str">
        <f aca="false">IF(D86="","",WORKDAY(D86,MAX(C86,1)-1))</f>
        <v/>
      </c>
      <c r="F86" s="95"/>
      <c r="G86" s="90"/>
      <c r="H86" s="90"/>
      <c r="I86" s="93"/>
    </row>
    <row r="87" customFormat="false" ht="15" hidden="false" customHeight="true" outlineLevel="1" collapsed="false">
      <c r="A87" s="88"/>
      <c r="B87" s="89"/>
      <c r="C87" s="90"/>
      <c r="D87" s="91" t="str">
        <f aca="false">IF(C87="","",IF(G87&lt;&gt;"",G87,IF(ISNUMBER(E86),WORKDAY(E86,1),Settings!$C$36)))</f>
        <v/>
      </c>
      <c r="E87" s="91" t="str">
        <f aca="false">IF(D87="","",WORKDAY(D87,MAX(C87,1)-1))</f>
        <v/>
      </c>
      <c r="F87" s="95"/>
      <c r="G87" s="90"/>
      <c r="H87" s="90"/>
      <c r="I87" s="93"/>
    </row>
    <row r="88" customFormat="false" ht="15" hidden="false" customHeight="true" outlineLevel="1" collapsed="false">
      <c r="A88" s="82" t="n">
        <v>29</v>
      </c>
      <c r="B88" s="83" t="s">
        <v>423</v>
      </c>
      <c r="C88" s="84" t="str">
        <f aca="false">IFERROR(NETWORKDAYS(D88,E88),"")</f>
        <v/>
      </c>
      <c r="D88" s="85" t="str">
        <f aca="false">IF(COUNT(D89:D90)=0,"",MIN(D89:D90))</f>
        <v/>
      </c>
      <c r="E88" s="85" t="str">
        <f aca="false">IF(COUNT(E89:E90)=0,"",MAX(E89:E90))</f>
        <v/>
      </c>
      <c r="F88" s="96"/>
      <c r="G88" s="86"/>
      <c r="H88" s="84" t="str">
        <f aca="false">IF(I88&gt;=1,"Complete",IF(I88&gt;0,"In Progress","Not Started"))</f>
        <v>Not Started</v>
      </c>
      <c r="I88" s="87" t="n">
        <f aca="false">IFERROR(SUMPRODUCT((B89:B90&lt;&gt;"")*I89:I90)/SUMPRODUCT((B89:B90&lt;&gt;"")*1),0)</f>
        <v>0</v>
      </c>
    </row>
    <row r="89" customFormat="false" ht="15" hidden="false" customHeight="true" outlineLevel="1" collapsed="false">
      <c r="A89" s="94"/>
      <c r="B89" s="89"/>
      <c r="C89" s="90"/>
      <c r="D89" s="91" t="str">
        <f aca="false">IF(C89="","",IF(G89&lt;&gt;"",G89,IF(ISNUMBER(E87),WORKDAY(E87,1),Settings!$C$36)))</f>
        <v/>
      </c>
      <c r="E89" s="91" t="str">
        <f aca="false">IF(D89="","",WORKDAY(D89,MAX(C89,1)-1))</f>
        <v/>
      </c>
      <c r="F89" s="95"/>
      <c r="G89" s="90"/>
      <c r="H89" s="90"/>
      <c r="I89" s="93"/>
    </row>
    <row r="90" customFormat="false" ht="15" hidden="false" customHeight="true" outlineLevel="1" collapsed="false">
      <c r="A90" s="94"/>
      <c r="B90" s="89"/>
      <c r="C90" s="90"/>
      <c r="D90" s="91" t="str">
        <f aca="false">IF(C90="","",IF(G90&lt;&gt;"",G90,IF(ISNUMBER(E89),WORKDAY(E89,1),Settings!$C$36)))</f>
        <v/>
      </c>
      <c r="E90" s="91" t="str">
        <f aca="false">IF(D90="","",WORKDAY(D90,MAX(C90,1)-1))</f>
        <v/>
      </c>
      <c r="F90" s="95"/>
      <c r="G90" s="90"/>
      <c r="H90" s="90"/>
      <c r="I90" s="93"/>
    </row>
    <row r="91" customFormat="false" ht="15" hidden="false" customHeight="true" outlineLevel="1" collapsed="false">
      <c r="A91" s="82" t="n">
        <v>30</v>
      </c>
      <c r="B91" s="83" t="s">
        <v>424</v>
      </c>
      <c r="C91" s="84" t="str">
        <f aca="false">IFERROR(NETWORKDAYS(D91,E91),"")</f>
        <v/>
      </c>
      <c r="D91" s="85" t="str">
        <f aca="false">IF(COUNT(D92:D93)=0,"",MIN(D92:D93))</f>
        <v/>
      </c>
      <c r="E91" s="85" t="str">
        <f aca="false">IF(COUNT(E92:E93)=0,"",MAX(E92:E93))</f>
        <v/>
      </c>
      <c r="F91" s="96"/>
      <c r="G91" s="86"/>
      <c r="H91" s="84" t="str">
        <f aca="false">IF(I91&gt;=1,"Complete",IF(I91&gt;0,"In Progress","Not Started"))</f>
        <v>Not Started</v>
      </c>
      <c r="I91" s="87" t="n">
        <f aca="false">IFERROR(SUMPRODUCT((B92:B93&lt;&gt;"")*I92:I93)/SUMPRODUCT((B92:B93&lt;&gt;"")*1),0)</f>
        <v>0</v>
      </c>
    </row>
    <row r="92" customFormat="false" ht="15" hidden="false" customHeight="true" outlineLevel="1" collapsed="false">
      <c r="A92" s="88"/>
      <c r="B92" s="89"/>
      <c r="C92" s="90"/>
      <c r="D92" s="91" t="str">
        <f aca="false">IF(C92="","",IF(G92&lt;&gt;"",G92,IF(ISNUMBER(E90),WORKDAY(E90,1),Settings!$C$36)))</f>
        <v/>
      </c>
      <c r="E92" s="91" t="str">
        <f aca="false">IF(D92="","",WORKDAY(D92,MAX(C92,1)-1))</f>
        <v/>
      </c>
      <c r="F92" s="95"/>
      <c r="G92" s="90"/>
      <c r="H92" s="90"/>
      <c r="I92" s="93"/>
    </row>
    <row r="93" customFormat="false" ht="15" hidden="false" customHeight="true" outlineLevel="1" collapsed="false">
      <c r="A93" s="94"/>
      <c r="B93" s="89"/>
      <c r="C93" s="90"/>
      <c r="D93" s="91" t="str">
        <f aca="false">IF(C93="","",IF(G93&lt;&gt;"",G93,IF(ISNUMBER(E92),WORKDAY(E92,1),Settings!$C$36)))</f>
        <v/>
      </c>
      <c r="E93" s="91" t="str">
        <f aca="false">IF(D93="","",WORKDAY(D93,MAX(C93,1)-1))</f>
        <v/>
      </c>
      <c r="F93" s="95"/>
      <c r="G93" s="90"/>
      <c r="H93" s="90"/>
      <c r="I93" s="93"/>
    </row>
    <row r="94" customFormat="false" ht="15" hidden="false" customHeight="true" outlineLevel="1" collapsed="false">
      <c r="A94" s="82" t="n">
        <v>31</v>
      </c>
      <c r="B94" s="83" t="s">
        <v>425</v>
      </c>
      <c r="C94" s="84" t="str">
        <f aca="false">IFERROR(NETWORKDAYS(D94,E94),"")</f>
        <v/>
      </c>
      <c r="D94" s="85" t="str">
        <f aca="false">IF(COUNT(D95:D96)=0,"",MIN(D95:D96))</f>
        <v/>
      </c>
      <c r="E94" s="85" t="str">
        <f aca="false">IF(COUNT(E95:E96)=0,"",MAX(E95:E96))</f>
        <v/>
      </c>
      <c r="F94" s="96"/>
      <c r="G94" s="86"/>
      <c r="H94" s="84" t="str">
        <f aca="false">IF(I94&gt;=1,"Complete",IF(I94&gt;0,"In Progress","Not Started"))</f>
        <v>Not Started</v>
      </c>
      <c r="I94" s="87" t="n">
        <f aca="false">IFERROR(SUMPRODUCT((B95:B96&lt;&gt;"")*I95:I96)/SUMPRODUCT((B95:B96&lt;&gt;"")*1),0)</f>
        <v>0</v>
      </c>
    </row>
    <row r="95" customFormat="false" ht="15" hidden="false" customHeight="true" outlineLevel="1" collapsed="false">
      <c r="A95" s="88"/>
      <c r="B95" s="89"/>
      <c r="C95" s="90"/>
      <c r="D95" s="91" t="str">
        <f aca="false">IF(C95="","",IF(G95&lt;&gt;"",G95,IF(ISNUMBER(E93),WORKDAY(E93,1),Settings!$C$36)))</f>
        <v/>
      </c>
      <c r="E95" s="91" t="str">
        <f aca="false">IF(D95="","",WORKDAY(D95,MAX(C95,1)-1))</f>
        <v/>
      </c>
      <c r="F95" s="95"/>
      <c r="G95" s="90"/>
      <c r="H95" s="90"/>
      <c r="I95" s="93"/>
    </row>
    <row r="96" customFormat="false" ht="15" hidden="false" customHeight="true" outlineLevel="1" collapsed="false">
      <c r="A96" s="94"/>
      <c r="B96" s="89"/>
      <c r="C96" s="90"/>
      <c r="D96" s="91" t="str">
        <f aca="false">IF(C96="","",IF(G96&lt;&gt;"",G96,IF(ISNUMBER(E95),WORKDAY(E95,1),Settings!$C$36)))</f>
        <v/>
      </c>
      <c r="E96" s="91" t="str">
        <f aca="false">IF(D96="","",WORKDAY(D96,MAX(C96,1)-1))</f>
        <v/>
      </c>
      <c r="F96" s="95"/>
      <c r="G96" s="90"/>
      <c r="H96" s="90"/>
      <c r="I96" s="93"/>
    </row>
    <row r="97" customFormat="false" ht="15" hidden="false" customHeight="true" outlineLevel="1" collapsed="false">
      <c r="A97" s="98"/>
      <c r="B97" s="99"/>
      <c r="C97" s="100"/>
      <c r="D97" s="101"/>
      <c r="E97" s="101"/>
      <c r="F97" s="98"/>
      <c r="G97" s="100"/>
      <c r="H97" s="100"/>
      <c r="I97" s="102"/>
    </row>
    <row r="98" customFormat="false" ht="15" hidden="false" customHeight="true" outlineLevel="0" collapsed="false">
      <c r="A98" s="100"/>
      <c r="B98" s="99"/>
      <c r="C98" s="100"/>
      <c r="D98" s="101"/>
      <c r="E98" s="101"/>
      <c r="F98" s="98"/>
      <c r="G98" s="98"/>
      <c r="H98" s="100"/>
      <c r="I98" s="102"/>
    </row>
    <row r="99" customFormat="false" ht="15" hidden="false" customHeight="true" outlineLevel="1" collapsed="false">
      <c r="A99" s="98"/>
      <c r="B99" s="99"/>
      <c r="C99" s="100"/>
      <c r="D99" s="101"/>
      <c r="E99" s="101"/>
      <c r="F99" s="98"/>
      <c r="G99" s="100"/>
      <c r="H99" s="100"/>
      <c r="I99" s="102"/>
    </row>
    <row r="100" customFormat="false" ht="15" hidden="false" customHeight="true" outlineLevel="1" collapsed="false">
      <c r="A100" s="98"/>
      <c r="B100" s="99"/>
      <c r="C100" s="100"/>
      <c r="D100" s="101"/>
      <c r="E100" s="101"/>
      <c r="F100" s="98"/>
      <c r="G100" s="100"/>
      <c r="H100" s="100"/>
      <c r="I100" s="102"/>
    </row>
    <row r="101" customFormat="false" ht="15" hidden="false" customHeight="true" outlineLevel="0" collapsed="false">
      <c r="A101" s="100"/>
      <c r="B101" s="99"/>
      <c r="C101" s="100"/>
      <c r="D101" s="101"/>
      <c r="E101" s="101"/>
      <c r="F101" s="98"/>
      <c r="G101" s="98"/>
      <c r="H101" s="100"/>
      <c r="I101" s="102"/>
    </row>
    <row r="102" customFormat="false" ht="15" hidden="false" customHeight="true" outlineLevel="1" collapsed="false">
      <c r="A102" s="98"/>
      <c r="B102" s="99"/>
      <c r="C102" s="100"/>
      <c r="D102" s="101"/>
      <c r="E102" s="101"/>
      <c r="F102" s="98"/>
      <c r="G102" s="100"/>
      <c r="H102" s="100"/>
      <c r="I102" s="102"/>
    </row>
    <row r="103" customFormat="false" ht="15" hidden="false" customHeight="true" outlineLevel="1" collapsed="false">
      <c r="A103" s="98"/>
      <c r="B103" s="99"/>
      <c r="C103" s="100"/>
      <c r="D103" s="101"/>
      <c r="E103" s="101"/>
      <c r="F103" s="98"/>
      <c r="G103" s="100"/>
      <c r="H103" s="100"/>
      <c r="I103" s="102"/>
    </row>
    <row r="104" customFormat="false" ht="15" hidden="false" customHeight="true" outlineLevel="1" collapsed="false">
      <c r="A104" s="98"/>
      <c r="B104" s="99"/>
      <c r="C104" s="100"/>
      <c r="D104" s="101"/>
      <c r="E104" s="101"/>
      <c r="F104" s="98"/>
      <c r="G104" s="100"/>
      <c r="H104" s="100"/>
      <c r="I104" s="102"/>
    </row>
    <row r="105" customFormat="false" ht="15" hidden="false" customHeight="true" outlineLevel="0" collapsed="false">
      <c r="A105" s="100"/>
      <c r="B105" s="99"/>
      <c r="C105" s="100"/>
      <c r="D105" s="101"/>
      <c r="E105" s="101"/>
      <c r="F105" s="98"/>
      <c r="G105" s="98"/>
      <c r="H105" s="100"/>
      <c r="I105" s="102"/>
    </row>
    <row r="106" customFormat="false" ht="15" hidden="false" customHeight="true" outlineLevel="1" collapsed="false">
      <c r="A106" s="98"/>
      <c r="B106" s="99"/>
      <c r="C106" s="100"/>
      <c r="D106" s="101"/>
      <c r="E106" s="101"/>
      <c r="F106" s="98"/>
      <c r="G106" s="100"/>
      <c r="H106" s="100"/>
      <c r="I106" s="102"/>
    </row>
    <row r="107" customFormat="false" ht="15" hidden="false" customHeight="true" outlineLevel="1" collapsed="false">
      <c r="A107" s="98"/>
      <c r="B107" s="99"/>
      <c r="C107" s="100"/>
      <c r="D107" s="101"/>
      <c r="E107" s="101"/>
      <c r="F107" s="98"/>
      <c r="G107" s="100"/>
      <c r="H107" s="100"/>
      <c r="I107" s="102"/>
    </row>
    <row r="108" customFormat="false" ht="15" hidden="false" customHeight="true" outlineLevel="1" collapsed="false">
      <c r="A108" s="98"/>
      <c r="B108" s="99"/>
      <c r="C108" s="100"/>
      <c r="D108" s="101"/>
      <c r="E108" s="101"/>
      <c r="F108" s="98"/>
      <c r="G108" s="100"/>
      <c r="H108" s="100"/>
      <c r="I108" s="102"/>
    </row>
    <row r="109" customFormat="false" ht="15" hidden="false" customHeight="true" outlineLevel="1" collapsed="false">
      <c r="A109" s="98"/>
      <c r="B109" s="99"/>
      <c r="C109" s="100"/>
      <c r="D109" s="101"/>
      <c r="E109" s="101"/>
      <c r="F109" s="98"/>
      <c r="G109" s="100"/>
      <c r="H109" s="100"/>
      <c r="I109" s="102"/>
    </row>
    <row r="110" customFormat="false" ht="15" hidden="false" customHeight="true" outlineLevel="1" collapsed="false">
      <c r="A110" s="98"/>
      <c r="B110" s="99"/>
      <c r="C110" s="100"/>
      <c r="D110" s="101"/>
      <c r="E110" s="101"/>
      <c r="F110" s="98"/>
      <c r="G110" s="100"/>
      <c r="H110" s="100"/>
      <c r="I110" s="102"/>
    </row>
    <row r="111" customFormat="false" ht="15" hidden="false" customHeight="true" outlineLevel="1" collapsed="false">
      <c r="A111" s="98"/>
      <c r="B111" s="99"/>
      <c r="C111" s="100"/>
      <c r="D111" s="101"/>
      <c r="E111" s="101"/>
      <c r="F111" s="98"/>
      <c r="G111" s="100"/>
      <c r="H111" s="100"/>
      <c r="I111" s="102"/>
    </row>
    <row r="112" customFormat="false" ht="15" hidden="false" customHeight="true" outlineLevel="0" collapsed="false">
      <c r="A112" s="98"/>
      <c r="B112" s="98"/>
      <c r="C112" s="98"/>
      <c r="D112" s="98"/>
      <c r="E112" s="98"/>
      <c r="F112" s="98"/>
      <c r="G112" s="98"/>
      <c r="H112" s="98"/>
      <c r="I112" s="98"/>
    </row>
    <row r="113" customFormat="false" ht="15" hidden="false" customHeight="true" outlineLevel="0" collapsed="false">
      <c r="A113" s="98"/>
      <c r="B113" s="103"/>
      <c r="C113" s="100"/>
      <c r="D113" s="101"/>
      <c r="E113" s="101"/>
      <c r="F113" s="98"/>
      <c r="G113" s="98"/>
      <c r="H113" s="98"/>
      <c r="I113" s="98"/>
    </row>
  </sheetData>
  <mergeCells count="1">
    <mergeCell ref="A1:I1"/>
  </mergeCells>
  <conditionalFormatting sqref="H4:H96">
    <cfRule type="expression" priority="2" aboveAverage="0" equalAverage="0" bottom="0" percent="0" rank="0" text="" dxfId="3">
      <formula>$H4="Complete"</formula>
    </cfRule>
    <cfRule type="expression" priority="3" aboveAverage="0" equalAverage="0" bottom="0" percent="0" rank="0" text="" dxfId="4">
      <formula>$H4="In Progress"</formula>
    </cfRule>
    <cfRule type="expression" priority="4" aboveAverage="0" equalAverage="0" bottom="0" percent="0" rank="0" text="" dxfId="5">
      <formula>$H4="On Hold"</formula>
    </cfRule>
  </conditionalFormatting>
  <dataValidations count="1">
    <dataValidation allowBlank="true" errorStyle="stop" operator="between" showDropDown="false" showErrorMessage="false" showInputMessage="false" sqref="H5:H6 H8:H9 H11:H12 H14:H15 H17:H18 H20:H21 H23:H24 H26:H27 H29:H30 H32:H33 H35:H36 H38:H39 H41:H42 H44:H45 H47:H48 H50:H51 H53:H54 H56:H57 H59:H60 H62:H63 H65:H66 H68:H69 H71:H72 H74:H75 H77:H78 H80:H81 H83:H84 H86:H87 H89:H90 H92:H93 H95:H96" type="list">
      <formula1>"Not Started,In Progress,Complete,On Hold"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1"/>
    <col collapsed="false" customWidth="true" hidden="false" outlineLevel="0" max="8" min="2" style="1" width="17"/>
  </cols>
  <sheetData>
    <row r="1" customFormat="false" ht="24" hidden="false" customHeight="true" outlineLevel="0" collapsed="false">
      <c r="A1" s="80" t="s">
        <v>426</v>
      </c>
      <c r="B1" s="80"/>
      <c r="C1" s="80"/>
      <c r="D1" s="80"/>
      <c r="E1" s="80"/>
      <c r="F1" s="80"/>
      <c r="G1" s="80"/>
      <c r="H1" s="80"/>
    </row>
    <row r="3" customFormat="false" ht="15" hidden="false" customHeight="true" outlineLevel="0" collapsed="false">
      <c r="A3" s="71" t="s">
        <v>427</v>
      </c>
      <c r="B3" s="70" t="s">
        <v>428</v>
      </c>
      <c r="C3" s="70" t="s">
        <v>429</v>
      </c>
      <c r="D3" s="70" t="s">
        <v>430</v>
      </c>
      <c r="E3" s="70" t="s">
        <v>431</v>
      </c>
      <c r="F3" s="70" t="s">
        <v>432</v>
      </c>
      <c r="G3" s="70" t="s">
        <v>433</v>
      </c>
      <c r="H3" s="70" t="s">
        <v>434</v>
      </c>
    </row>
    <row r="4" customFormat="false" ht="15" hidden="false" customHeight="true" outlineLevel="0" collapsed="false">
      <c r="A4" s="104" t="n">
        <f aca="false">(Settings!$C$36-(WEEKDAY(Settings!$C$36,2)-1))+0</f>
        <v>46202</v>
      </c>
      <c r="B4" s="105" t="n">
        <f aca="false">$A4+0</f>
        <v>46202</v>
      </c>
      <c r="C4" s="105" t="n">
        <f aca="false">$A4+1</f>
        <v>46203</v>
      </c>
      <c r="D4" s="105" t="n">
        <f aca="false">$A4+2</f>
        <v>46204</v>
      </c>
      <c r="E4" s="105" t="n">
        <f aca="false">$A4+3</f>
        <v>46205</v>
      </c>
      <c r="F4" s="105" t="n">
        <f aca="false">$A4+4</f>
        <v>46206</v>
      </c>
      <c r="G4" s="106" t="n">
        <f aca="false">$A4+5</f>
        <v>46207</v>
      </c>
      <c r="H4" s="106" t="n">
        <f aca="false">$A4+6</f>
        <v>46208</v>
      </c>
    </row>
    <row r="5" customFormat="false" ht="25.5" hidden="false" customHeight="true" outlineLevel="0" collapsed="false">
      <c r="A5" s="104"/>
      <c r="B5" s="107" t="str">
        <f aca="false">IFERROR(INDEX(Schedule!$B$4:$B$200,MATCH(B4,Schedule!$D$4:$D$200,0))&amp;IF(COUNTIF(Schedule!$D$4:$D$200,B4)&gt;1," +"&amp;(COUNTIF(Schedule!$D$4:$D$200,B4)-1)&amp;" more",""),"")</f>
        <v/>
      </c>
      <c r="C5" s="107" t="str">
        <f aca="false">IFERROR(INDEX(Schedule!$B$4:$B$200,MATCH(C4,Schedule!$D$4:$D$200,0))&amp;IF(COUNTIF(Schedule!$D$4:$D$200,C4)&gt;1," +"&amp;(COUNTIF(Schedule!$D$4:$D$200,C4)-1)&amp;" more",""),"")</f>
        <v/>
      </c>
      <c r="D5" s="107" t="str">
        <f aca="false">IFERROR(INDEX(Schedule!$B$4:$B$200,MATCH(D4,Schedule!$D$4:$D$200,0))&amp;IF(COUNTIF(Schedule!$D$4:$D$200,D4)&gt;1," +"&amp;(COUNTIF(Schedule!$D$4:$D$200,D4)-1)&amp;" more",""),"")</f>
        <v/>
      </c>
      <c r="E5" s="107" t="str">
        <f aca="false">IFERROR(INDEX(Schedule!$B$4:$B$200,MATCH(E4,Schedule!$D$4:$D$200,0))&amp;IF(COUNTIF(Schedule!$D$4:$D$200,E4)&gt;1," +"&amp;(COUNTIF(Schedule!$D$4:$D$200,E4)-1)&amp;" more",""),"")</f>
        <v/>
      </c>
      <c r="F5" s="107" t="str">
        <f aca="false">IFERROR(INDEX(Schedule!$B$4:$B$200,MATCH(F4,Schedule!$D$4:$D$200,0))&amp;IF(COUNTIF(Schedule!$D$4:$D$200,F4)&gt;1," +"&amp;(COUNTIF(Schedule!$D$4:$D$200,F4)-1)&amp;" more",""),"")</f>
        <v/>
      </c>
      <c r="G5" s="108" t="str">
        <f aca="false">IFERROR(INDEX(Schedule!$B$4:$B$200,MATCH(G4,Schedule!$D$4:$D$200,0))&amp;IF(COUNTIF(Schedule!$D$4:$D$200,G4)&gt;1," +"&amp;(COUNTIF(Schedule!$D$4:$D$200,G4)-1)&amp;" more",""),"")</f>
        <v/>
      </c>
      <c r="H5" s="108" t="str">
        <f aca="false">IFERROR(INDEX(Schedule!$B$4:$B$200,MATCH(H4,Schedule!$D$4:$D$200,0))&amp;IF(COUNTIF(Schedule!$D$4:$D$200,H4)&gt;1," +"&amp;(COUNTIF(Schedule!$D$4:$D$200,H4)-1)&amp;" more",""),"")</f>
        <v/>
      </c>
    </row>
    <row r="6" customFormat="false" ht="15" hidden="false" customHeight="true" outlineLevel="0" collapsed="false">
      <c r="A6" s="104" t="n">
        <f aca="false">(Settings!$C$36-(WEEKDAY(Settings!$C$36,2)-1))+7</f>
        <v>46209</v>
      </c>
      <c r="B6" s="105" t="n">
        <f aca="false">$A6+0</f>
        <v>46209</v>
      </c>
      <c r="C6" s="105" t="n">
        <f aca="false">$A6+1</f>
        <v>46210</v>
      </c>
      <c r="D6" s="105" t="n">
        <f aca="false">$A6+2</f>
        <v>46211</v>
      </c>
      <c r="E6" s="105" t="n">
        <f aca="false">$A6+3</f>
        <v>46212</v>
      </c>
      <c r="F6" s="105" t="n">
        <f aca="false">$A6+4</f>
        <v>46213</v>
      </c>
      <c r="G6" s="106" t="n">
        <f aca="false">$A6+5</f>
        <v>46214</v>
      </c>
      <c r="H6" s="106" t="n">
        <f aca="false">$A6+6</f>
        <v>46215</v>
      </c>
    </row>
    <row r="7" customFormat="false" ht="25.5" hidden="false" customHeight="true" outlineLevel="0" collapsed="false">
      <c r="A7" s="104"/>
      <c r="B7" s="107" t="str">
        <f aca="false">IFERROR(INDEX(Schedule!$B$4:$B$200,MATCH(B6,Schedule!$D$4:$D$200,0))&amp;IF(COUNTIF(Schedule!$D$4:$D$200,B6)&gt;1," +"&amp;(COUNTIF(Schedule!$D$4:$D$200,B6)-1)&amp;" more",""),"")</f>
        <v/>
      </c>
      <c r="C7" s="107" t="str">
        <f aca="false">IFERROR(INDEX(Schedule!$B$4:$B$200,MATCH(C6,Schedule!$D$4:$D$200,0))&amp;IF(COUNTIF(Schedule!$D$4:$D$200,C6)&gt;1," +"&amp;(COUNTIF(Schedule!$D$4:$D$200,C6)-1)&amp;" more",""),"")</f>
        <v/>
      </c>
      <c r="D7" s="107" t="str">
        <f aca="false">IFERROR(INDEX(Schedule!$B$4:$B$200,MATCH(D6,Schedule!$D$4:$D$200,0))&amp;IF(COUNTIF(Schedule!$D$4:$D$200,D6)&gt;1," +"&amp;(COUNTIF(Schedule!$D$4:$D$200,D6)-1)&amp;" more",""),"")</f>
        <v/>
      </c>
      <c r="E7" s="107" t="str">
        <f aca="false">IFERROR(INDEX(Schedule!$B$4:$B$200,MATCH(E6,Schedule!$D$4:$D$200,0))&amp;IF(COUNTIF(Schedule!$D$4:$D$200,E6)&gt;1," +"&amp;(COUNTIF(Schedule!$D$4:$D$200,E6)-1)&amp;" more",""),"")</f>
        <v/>
      </c>
      <c r="F7" s="107" t="str">
        <f aca="false">IFERROR(INDEX(Schedule!$B$4:$B$200,MATCH(F6,Schedule!$D$4:$D$200,0))&amp;IF(COUNTIF(Schedule!$D$4:$D$200,F6)&gt;1," +"&amp;(COUNTIF(Schedule!$D$4:$D$200,F6)-1)&amp;" more",""),"")</f>
        <v/>
      </c>
      <c r="G7" s="108" t="str">
        <f aca="false">IFERROR(INDEX(Schedule!$B$4:$B$200,MATCH(G6,Schedule!$D$4:$D$200,0))&amp;IF(COUNTIF(Schedule!$D$4:$D$200,G6)&gt;1," +"&amp;(COUNTIF(Schedule!$D$4:$D$200,G6)-1)&amp;" more",""),"")</f>
        <v/>
      </c>
      <c r="H7" s="108" t="str">
        <f aca="false">IFERROR(INDEX(Schedule!$B$4:$B$200,MATCH(H6,Schedule!$D$4:$D$200,0))&amp;IF(COUNTIF(Schedule!$D$4:$D$200,H6)&gt;1," +"&amp;(COUNTIF(Schedule!$D$4:$D$200,H6)-1)&amp;" more",""),"")</f>
        <v/>
      </c>
    </row>
    <row r="8" customFormat="false" ht="15" hidden="false" customHeight="true" outlineLevel="0" collapsed="false">
      <c r="A8" s="104" t="n">
        <f aca="false">(Settings!$C$36-(WEEKDAY(Settings!$C$36,2)-1))+14</f>
        <v>46216</v>
      </c>
      <c r="B8" s="105" t="n">
        <f aca="false">$A8+0</f>
        <v>46216</v>
      </c>
      <c r="C8" s="105" t="n">
        <f aca="false">$A8+1</f>
        <v>46217</v>
      </c>
      <c r="D8" s="105" t="n">
        <f aca="false">$A8+2</f>
        <v>46218</v>
      </c>
      <c r="E8" s="105" t="n">
        <f aca="false">$A8+3</f>
        <v>46219</v>
      </c>
      <c r="F8" s="105" t="n">
        <f aca="false">$A8+4</f>
        <v>46220</v>
      </c>
      <c r="G8" s="106" t="n">
        <f aca="false">$A8+5</f>
        <v>46221</v>
      </c>
      <c r="H8" s="106" t="n">
        <f aca="false">$A8+6</f>
        <v>46222</v>
      </c>
    </row>
    <row r="9" customFormat="false" ht="25.5" hidden="false" customHeight="true" outlineLevel="0" collapsed="false">
      <c r="A9" s="104"/>
      <c r="B9" s="107" t="str">
        <f aca="false">IFERROR(INDEX(Schedule!$B$4:$B$200,MATCH(B8,Schedule!$D$4:$D$200,0))&amp;IF(COUNTIF(Schedule!$D$4:$D$200,B8)&gt;1," +"&amp;(COUNTIF(Schedule!$D$4:$D$200,B8)-1)&amp;" more",""),"")</f>
        <v/>
      </c>
      <c r="C9" s="107" t="str">
        <f aca="false">IFERROR(INDEX(Schedule!$B$4:$B$200,MATCH(C8,Schedule!$D$4:$D$200,0))&amp;IF(COUNTIF(Schedule!$D$4:$D$200,C8)&gt;1," +"&amp;(COUNTIF(Schedule!$D$4:$D$200,C8)-1)&amp;" more",""),"")</f>
        <v/>
      </c>
      <c r="D9" s="107" t="str">
        <f aca="false">IFERROR(INDEX(Schedule!$B$4:$B$200,MATCH(D8,Schedule!$D$4:$D$200,0))&amp;IF(COUNTIF(Schedule!$D$4:$D$200,D8)&gt;1," +"&amp;(COUNTIF(Schedule!$D$4:$D$200,D8)-1)&amp;" more",""),"")</f>
        <v/>
      </c>
      <c r="E9" s="107" t="str">
        <f aca="false">IFERROR(INDEX(Schedule!$B$4:$B$200,MATCH(E8,Schedule!$D$4:$D$200,0))&amp;IF(COUNTIF(Schedule!$D$4:$D$200,E8)&gt;1," +"&amp;(COUNTIF(Schedule!$D$4:$D$200,E8)-1)&amp;" more",""),"")</f>
        <v/>
      </c>
      <c r="F9" s="107" t="str">
        <f aca="false">IFERROR(INDEX(Schedule!$B$4:$B$200,MATCH(F8,Schedule!$D$4:$D$200,0))&amp;IF(COUNTIF(Schedule!$D$4:$D$200,F8)&gt;1," +"&amp;(COUNTIF(Schedule!$D$4:$D$200,F8)-1)&amp;" more",""),"")</f>
        <v/>
      </c>
      <c r="G9" s="108" t="str">
        <f aca="false">IFERROR(INDEX(Schedule!$B$4:$B$200,MATCH(G8,Schedule!$D$4:$D$200,0))&amp;IF(COUNTIF(Schedule!$D$4:$D$200,G8)&gt;1," +"&amp;(COUNTIF(Schedule!$D$4:$D$200,G8)-1)&amp;" more",""),"")</f>
        <v/>
      </c>
      <c r="H9" s="108" t="str">
        <f aca="false">IFERROR(INDEX(Schedule!$B$4:$B$200,MATCH(H8,Schedule!$D$4:$D$200,0))&amp;IF(COUNTIF(Schedule!$D$4:$D$200,H8)&gt;1," +"&amp;(COUNTIF(Schedule!$D$4:$D$200,H8)-1)&amp;" more",""),"")</f>
        <v/>
      </c>
    </row>
    <row r="10" customFormat="false" ht="15" hidden="false" customHeight="true" outlineLevel="0" collapsed="false">
      <c r="A10" s="104" t="n">
        <f aca="false">(Settings!$C$36-(WEEKDAY(Settings!$C$36,2)-1))+21</f>
        <v>46223</v>
      </c>
      <c r="B10" s="105" t="n">
        <f aca="false">$A10+0</f>
        <v>46223</v>
      </c>
      <c r="C10" s="105" t="n">
        <f aca="false">$A10+1</f>
        <v>46224</v>
      </c>
      <c r="D10" s="105" t="n">
        <f aca="false">$A10+2</f>
        <v>46225</v>
      </c>
      <c r="E10" s="105" t="n">
        <f aca="false">$A10+3</f>
        <v>46226</v>
      </c>
      <c r="F10" s="105" t="n">
        <f aca="false">$A10+4</f>
        <v>46227</v>
      </c>
      <c r="G10" s="106" t="n">
        <f aca="false">$A10+5</f>
        <v>46228</v>
      </c>
      <c r="H10" s="106" t="n">
        <f aca="false">$A10+6</f>
        <v>46229</v>
      </c>
    </row>
    <row r="11" customFormat="false" ht="25.5" hidden="false" customHeight="true" outlineLevel="0" collapsed="false">
      <c r="A11" s="104"/>
      <c r="B11" s="107" t="str">
        <f aca="false">IFERROR(INDEX(Schedule!$B$4:$B$200,MATCH(B10,Schedule!$D$4:$D$200,0))&amp;IF(COUNTIF(Schedule!$D$4:$D$200,B10)&gt;1," +"&amp;(COUNTIF(Schedule!$D$4:$D$200,B10)-1)&amp;" more",""),"")</f>
        <v/>
      </c>
      <c r="C11" s="107" t="str">
        <f aca="false">IFERROR(INDEX(Schedule!$B$4:$B$200,MATCH(C10,Schedule!$D$4:$D$200,0))&amp;IF(COUNTIF(Schedule!$D$4:$D$200,C10)&gt;1," +"&amp;(COUNTIF(Schedule!$D$4:$D$200,C10)-1)&amp;" more",""),"")</f>
        <v/>
      </c>
      <c r="D11" s="107" t="str">
        <f aca="false">IFERROR(INDEX(Schedule!$B$4:$B$200,MATCH(D10,Schedule!$D$4:$D$200,0))&amp;IF(COUNTIF(Schedule!$D$4:$D$200,D10)&gt;1," +"&amp;(COUNTIF(Schedule!$D$4:$D$200,D10)-1)&amp;" more",""),"")</f>
        <v/>
      </c>
      <c r="E11" s="107" t="str">
        <f aca="false">IFERROR(INDEX(Schedule!$B$4:$B$200,MATCH(E10,Schedule!$D$4:$D$200,0))&amp;IF(COUNTIF(Schedule!$D$4:$D$200,E10)&gt;1," +"&amp;(COUNTIF(Schedule!$D$4:$D$200,E10)-1)&amp;" more",""),"")</f>
        <v/>
      </c>
      <c r="F11" s="107" t="str">
        <f aca="false">IFERROR(INDEX(Schedule!$B$4:$B$200,MATCH(F10,Schedule!$D$4:$D$200,0))&amp;IF(COUNTIF(Schedule!$D$4:$D$200,F10)&gt;1," +"&amp;(COUNTIF(Schedule!$D$4:$D$200,F10)-1)&amp;" more",""),"")</f>
        <v/>
      </c>
      <c r="G11" s="108" t="str">
        <f aca="false">IFERROR(INDEX(Schedule!$B$4:$B$200,MATCH(G10,Schedule!$D$4:$D$200,0))&amp;IF(COUNTIF(Schedule!$D$4:$D$200,G10)&gt;1," +"&amp;(COUNTIF(Schedule!$D$4:$D$200,G10)-1)&amp;" more",""),"")</f>
        <v/>
      </c>
      <c r="H11" s="108" t="str">
        <f aca="false">IFERROR(INDEX(Schedule!$B$4:$B$200,MATCH(H10,Schedule!$D$4:$D$200,0))&amp;IF(COUNTIF(Schedule!$D$4:$D$200,H10)&gt;1," +"&amp;(COUNTIF(Schedule!$D$4:$D$200,H10)-1)&amp;" more",""),"")</f>
        <v/>
      </c>
    </row>
    <row r="12" customFormat="false" ht="15" hidden="false" customHeight="true" outlineLevel="0" collapsed="false">
      <c r="A12" s="104" t="n">
        <f aca="false">(Settings!$C$36-(WEEKDAY(Settings!$C$36,2)-1))+28</f>
        <v>46230</v>
      </c>
      <c r="B12" s="105" t="n">
        <f aca="false">$A12+0</f>
        <v>46230</v>
      </c>
      <c r="C12" s="105" t="n">
        <f aca="false">$A12+1</f>
        <v>46231</v>
      </c>
      <c r="D12" s="105" t="n">
        <f aca="false">$A12+2</f>
        <v>46232</v>
      </c>
      <c r="E12" s="105" t="n">
        <f aca="false">$A12+3</f>
        <v>46233</v>
      </c>
      <c r="F12" s="105" t="n">
        <f aca="false">$A12+4</f>
        <v>46234</v>
      </c>
      <c r="G12" s="106" t="n">
        <f aca="false">$A12+5</f>
        <v>46235</v>
      </c>
      <c r="H12" s="106" t="n">
        <f aca="false">$A12+6</f>
        <v>46236</v>
      </c>
    </row>
    <row r="13" customFormat="false" ht="25.5" hidden="false" customHeight="true" outlineLevel="0" collapsed="false">
      <c r="A13" s="104"/>
      <c r="B13" s="107" t="str">
        <f aca="false">IFERROR(INDEX(Schedule!$B$4:$B$200,MATCH(B12,Schedule!$D$4:$D$200,0))&amp;IF(COUNTIF(Schedule!$D$4:$D$200,B12)&gt;1," +"&amp;(COUNTIF(Schedule!$D$4:$D$200,B12)-1)&amp;" more",""),"")</f>
        <v/>
      </c>
      <c r="C13" s="107" t="str">
        <f aca="false">IFERROR(INDEX(Schedule!$B$4:$B$200,MATCH(C12,Schedule!$D$4:$D$200,0))&amp;IF(COUNTIF(Schedule!$D$4:$D$200,C12)&gt;1," +"&amp;(COUNTIF(Schedule!$D$4:$D$200,C12)-1)&amp;" more",""),"")</f>
        <v/>
      </c>
      <c r="D13" s="107" t="str">
        <f aca="false">IFERROR(INDEX(Schedule!$B$4:$B$200,MATCH(D12,Schedule!$D$4:$D$200,0))&amp;IF(COUNTIF(Schedule!$D$4:$D$200,D12)&gt;1," +"&amp;(COUNTIF(Schedule!$D$4:$D$200,D12)-1)&amp;" more",""),"")</f>
        <v/>
      </c>
      <c r="E13" s="107" t="str">
        <f aca="false">IFERROR(INDEX(Schedule!$B$4:$B$200,MATCH(E12,Schedule!$D$4:$D$200,0))&amp;IF(COUNTIF(Schedule!$D$4:$D$200,E12)&gt;1," +"&amp;(COUNTIF(Schedule!$D$4:$D$200,E12)-1)&amp;" more",""),"")</f>
        <v/>
      </c>
      <c r="F13" s="107" t="str">
        <f aca="false">IFERROR(INDEX(Schedule!$B$4:$B$200,MATCH(F12,Schedule!$D$4:$D$200,0))&amp;IF(COUNTIF(Schedule!$D$4:$D$200,F12)&gt;1," +"&amp;(COUNTIF(Schedule!$D$4:$D$200,F12)-1)&amp;" more",""),"")</f>
        <v/>
      </c>
      <c r="G13" s="108" t="str">
        <f aca="false">IFERROR(INDEX(Schedule!$B$4:$B$200,MATCH(G12,Schedule!$D$4:$D$200,0))&amp;IF(COUNTIF(Schedule!$D$4:$D$200,G12)&gt;1," +"&amp;(COUNTIF(Schedule!$D$4:$D$200,G12)-1)&amp;" more",""),"")</f>
        <v/>
      </c>
      <c r="H13" s="108" t="str">
        <f aca="false">IFERROR(INDEX(Schedule!$B$4:$B$200,MATCH(H12,Schedule!$D$4:$D$200,0))&amp;IF(COUNTIF(Schedule!$D$4:$D$200,H12)&gt;1," +"&amp;(COUNTIF(Schedule!$D$4:$D$200,H12)-1)&amp;" more",""),"")</f>
        <v/>
      </c>
    </row>
    <row r="14" customFormat="false" ht="15" hidden="false" customHeight="true" outlineLevel="0" collapsed="false">
      <c r="A14" s="104" t="n">
        <f aca="false">(Settings!$C$36-(WEEKDAY(Settings!$C$36,2)-1))+35</f>
        <v>46237</v>
      </c>
      <c r="B14" s="105" t="n">
        <f aca="false">$A14+0</f>
        <v>46237</v>
      </c>
      <c r="C14" s="105" t="n">
        <f aca="false">$A14+1</f>
        <v>46238</v>
      </c>
      <c r="D14" s="105" t="n">
        <f aca="false">$A14+2</f>
        <v>46239</v>
      </c>
      <c r="E14" s="105" t="n">
        <f aca="false">$A14+3</f>
        <v>46240</v>
      </c>
      <c r="F14" s="105" t="n">
        <f aca="false">$A14+4</f>
        <v>46241</v>
      </c>
      <c r="G14" s="106" t="n">
        <f aca="false">$A14+5</f>
        <v>46242</v>
      </c>
      <c r="H14" s="106" t="n">
        <f aca="false">$A14+6</f>
        <v>46243</v>
      </c>
    </row>
    <row r="15" customFormat="false" ht="25.5" hidden="false" customHeight="true" outlineLevel="0" collapsed="false">
      <c r="A15" s="104"/>
      <c r="B15" s="107" t="str">
        <f aca="false">IFERROR(INDEX(Schedule!$B$4:$B$200,MATCH(B14,Schedule!$D$4:$D$200,0))&amp;IF(COUNTIF(Schedule!$D$4:$D$200,B14)&gt;1," +"&amp;(COUNTIF(Schedule!$D$4:$D$200,B14)-1)&amp;" more",""),"")</f>
        <v/>
      </c>
      <c r="C15" s="107" t="str">
        <f aca="false">IFERROR(INDEX(Schedule!$B$4:$B$200,MATCH(C14,Schedule!$D$4:$D$200,0))&amp;IF(COUNTIF(Schedule!$D$4:$D$200,C14)&gt;1," +"&amp;(COUNTIF(Schedule!$D$4:$D$200,C14)-1)&amp;" more",""),"")</f>
        <v/>
      </c>
      <c r="D15" s="107" t="str">
        <f aca="false">IFERROR(INDEX(Schedule!$B$4:$B$200,MATCH(D14,Schedule!$D$4:$D$200,0))&amp;IF(COUNTIF(Schedule!$D$4:$D$200,D14)&gt;1," +"&amp;(COUNTIF(Schedule!$D$4:$D$200,D14)-1)&amp;" more",""),"")</f>
        <v/>
      </c>
      <c r="E15" s="107" t="str">
        <f aca="false">IFERROR(INDEX(Schedule!$B$4:$B$200,MATCH(E14,Schedule!$D$4:$D$200,0))&amp;IF(COUNTIF(Schedule!$D$4:$D$200,E14)&gt;1," +"&amp;(COUNTIF(Schedule!$D$4:$D$200,E14)-1)&amp;" more",""),"")</f>
        <v/>
      </c>
      <c r="F15" s="107" t="str">
        <f aca="false">IFERROR(INDEX(Schedule!$B$4:$B$200,MATCH(F14,Schedule!$D$4:$D$200,0))&amp;IF(COUNTIF(Schedule!$D$4:$D$200,F14)&gt;1," +"&amp;(COUNTIF(Schedule!$D$4:$D$200,F14)-1)&amp;" more",""),"")</f>
        <v/>
      </c>
      <c r="G15" s="108" t="str">
        <f aca="false">IFERROR(INDEX(Schedule!$B$4:$B$200,MATCH(G14,Schedule!$D$4:$D$200,0))&amp;IF(COUNTIF(Schedule!$D$4:$D$200,G14)&gt;1," +"&amp;(COUNTIF(Schedule!$D$4:$D$200,G14)-1)&amp;" more",""),"")</f>
        <v/>
      </c>
      <c r="H15" s="108" t="str">
        <f aca="false">IFERROR(INDEX(Schedule!$B$4:$B$200,MATCH(H14,Schedule!$D$4:$D$200,0))&amp;IF(COUNTIF(Schedule!$D$4:$D$200,H14)&gt;1," +"&amp;(COUNTIF(Schedule!$D$4:$D$200,H14)-1)&amp;" more",""),"")</f>
        <v/>
      </c>
    </row>
    <row r="16" customFormat="false" ht="15" hidden="false" customHeight="true" outlineLevel="0" collapsed="false">
      <c r="A16" s="104" t="n">
        <f aca="false">(Settings!$C$36-(WEEKDAY(Settings!$C$36,2)-1))+42</f>
        <v>46244</v>
      </c>
      <c r="B16" s="105" t="n">
        <f aca="false">$A16+0</f>
        <v>46244</v>
      </c>
      <c r="C16" s="105" t="n">
        <f aca="false">$A16+1</f>
        <v>46245</v>
      </c>
      <c r="D16" s="105" t="n">
        <f aca="false">$A16+2</f>
        <v>46246</v>
      </c>
      <c r="E16" s="105" t="n">
        <f aca="false">$A16+3</f>
        <v>46247</v>
      </c>
      <c r="F16" s="105" t="n">
        <f aca="false">$A16+4</f>
        <v>46248</v>
      </c>
      <c r="G16" s="106" t="n">
        <f aca="false">$A16+5</f>
        <v>46249</v>
      </c>
      <c r="H16" s="106" t="n">
        <f aca="false">$A16+6</f>
        <v>46250</v>
      </c>
    </row>
    <row r="17" customFormat="false" ht="25.5" hidden="false" customHeight="true" outlineLevel="0" collapsed="false">
      <c r="A17" s="104"/>
      <c r="B17" s="107" t="str">
        <f aca="false">IFERROR(INDEX(Schedule!$B$4:$B$200,MATCH(B16,Schedule!$D$4:$D$200,0))&amp;IF(COUNTIF(Schedule!$D$4:$D$200,B16)&gt;1," +"&amp;(COUNTIF(Schedule!$D$4:$D$200,B16)-1)&amp;" more",""),"")</f>
        <v/>
      </c>
      <c r="C17" s="107" t="str">
        <f aca="false">IFERROR(INDEX(Schedule!$B$4:$B$200,MATCH(C16,Schedule!$D$4:$D$200,0))&amp;IF(COUNTIF(Schedule!$D$4:$D$200,C16)&gt;1," +"&amp;(COUNTIF(Schedule!$D$4:$D$200,C16)-1)&amp;" more",""),"")</f>
        <v/>
      </c>
      <c r="D17" s="107" t="str">
        <f aca="false">IFERROR(INDEX(Schedule!$B$4:$B$200,MATCH(D16,Schedule!$D$4:$D$200,0))&amp;IF(COUNTIF(Schedule!$D$4:$D$200,D16)&gt;1," +"&amp;(COUNTIF(Schedule!$D$4:$D$200,D16)-1)&amp;" more",""),"")</f>
        <v/>
      </c>
      <c r="E17" s="107" t="str">
        <f aca="false">IFERROR(INDEX(Schedule!$B$4:$B$200,MATCH(E16,Schedule!$D$4:$D$200,0))&amp;IF(COUNTIF(Schedule!$D$4:$D$200,E16)&gt;1," +"&amp;(COUNTIF(Schedule!$D$4:$D$200,E16)-1)&amp;" more",""),"")</f>
        <v/>
      </c>
      <c r="F17" s="107" t="str">
        <f aca="false">IFERROR(INDEX(Schedule!$B$4:$B$200,MATCH(F16,Schedule!$D$4:$D$200,0))&amp;IF(COUNTIF(Schedule!$D$4:$D$200,F16)&gt;1," +"&amp;(COUNTIF(Schedule!$D$4:$D$200,F16)-1)&amp;" more",""),"")</f>
        <v/>
      </c>
      <c r="G17" s="108" t="str">
        <f aca="false">IFERROR(INDEX(Schedule!$B$4:$B$200,MATCH(G16,Schedule!$D$4:$D$200,0))&amp;IF(COUNTIF(Schedule!$D$4:$D$200,G16)&gt;1," +"&amp;(COUNTIF(Schedule!$D$4:$D$200,G16)-1)&amp;" more",""),"")</f>
        <v/>
      </c>
      <c r="H17" s="108" t="str">
        <f aca="false">IFERROR(INDEX(Schedule!$B$4:$B$200,MATCH(H16,Schedule!$D$4:$D$200,0))&amp;IF(COUNTIF(Schedule!$D$4:$D$200,H16)&gt;1," +"&amp;(COUNTIF(Schedule!$D$4:$D$200,H16)-1)&amp;" more",""),"")</f>
        <v/>
      </c>
    </row>
    <row r="18" customFormat="false" ht="15" hidden="false" customHeight="true" outlineLevel="0" collapsed="false">
      <c r="A18" s="104" t="n">
        <f aca="false">(Settings!$C$36-(WEEKDAY(Settings!$C$36,2)-1))+49</f>
        <v>46251</v>
      </c>
      <c r="B18" s="105" t="n">
        <f aca="false">$A18+0</f>
        <v>46251</v>
      </c>
      <c r="C18" s="105" t="n">
        <f aca="false">$A18+1</f>
        <v>46252</v>
      </c>
      <c r="D18" s="105" t="n">
        <f aca="false">$A18+2</f>
        <v>46253</v>
      </c>
      <c r="E18" s="105" t="n">
        <f aca="false">$A18+3</f>
        <v>46254</v>
      </c>
      <c r="F18" s="105" t="n">
        <f aca="false">$A18+4</f>
        <v>46255</v>
      </c>
      <c r="G18" s="106" t="n">
        <f aca="false">$A18+5</f>
        <v>46256</v>
      </c>
      <c r="H18" s="106" t="n">
        <f aca="false">$A18+6</f>
        <v>46257</v>
      </c>
    </row>
    <row r="19" customFormat="false" ht="25.5" hidden="false" customHeight="true" outlineLevel="0" collapsed="false">
      <c r="A19" s="104"/>
      <c r="B19" s="107" t="str">
        <f aca="false">IFERROR(INDEX(Schedule!$B$4:$B$200,MATCH(B18,Schedule!$D$4:$D$200,0))&amp;IF(COUNTIF(Schedule!$D$4:$D$200,B18)&gt;1," +"&amp;(COUNTIF(Schedule!$D$4:$D$200,B18)-1)&amp;" more",""),"")</f>
        <v/>
      </c>
      <c r="C19" s="107" t="str">
        <f aca="false">IFERROR(INDEX(Schedule!$B$4:$B$200,MATCH(C18,Schedule!$D$4:$D$200,0))&amp;IF(COUNTIF(Schedule!$D$4:$D$200,C18)&gt;1," +"&amp;(COUNTIF(Schedule!$D$4:$D$200,C18)-1)&amp;" more",""),"")</f>
        <v/>
      </c>
      <c r="D19" s="107" t="str">
        <f aca="false">IFERROR(INDEX(Schedule!$B$4:$B$200,MATCH(D18,Schedule!$D$4:$D$200,0))&amp;IF(COUNTIF(Schedule!$D$4:$D$200,D18)&gt;1," +"&amp;(COUNTIF(Schedule!$D$4:$D$200,D18)-1)&amp;" more",""),"")</f>
        <v/>
      </c>
      <c r="E19" s="107" t="str">
        <f aca="false">IFERROR(INDEX(Schedule!$B$4:$B$200,MATCH(E18,Schedule!$D$4:$D$200,0))&amp;IF(COUNTIF(Schedule!$D$4:$D$200,E18)&gt;1," +"&amp;(COUNTIF(Schedule!$D$4:$D$200,E18)-1)&amp;" more",""),"")</f>
        <v/>
      </c>
      <c r="F19" s="107" t="str">
        <f aca="false">IFERROR(INDEX(Schedule!$B$4:$B$200,MATCH(F18,Schedule!$D$4:$D$200,0))&amp;IF(COUNTIF(Schedule!$D$4:$D$200,F18)&gt;1," +"&amp;(COUNTIF(Schedule!$D$4:$D$200,F18)-1)&amp;" more",""),"")</f>
        <v/>
      </c>
      <c r="G19" s="108" t="str">
        <f aca="false">IFERROR(INDEX(Schedule!$B$4:$B$200,MATCH(G18,Schedule!$D$4:$D$200,0))&amp;IF(COUNTIF(Schedule!$D$4:$D$200,G18)&gt;1," +"&amp;(COUNTIF(Schedule!$D$4:$D$200,G18)-1)&amp;" more",""),"")</f>
        <v/>
      </c>
      <c r="H19" s="108" t="str">
        <f aca="false">IFERROR(INDEX(Schedule!$B$4:$B$200,MATCH(H18,Schedule!$D$4:$D$200,0))&amp;IF(COUNTIF(Schedule!$D$4:$D$200,H18)&gt;1," +"&amp;(COUNTIF(Schedule!$D$4:$D$200,H18)-1)&amp;" more",""),"")</f>
        <v/>
      </c>
    </row>
    <row r="20" customFormat="false" ht="15" hidden="false" customHeight="true" outlineLevel="0" collapsed="false">
      <c r="A20" s="104" t="n">
        <f aca="false">(Settings!$C$36-(WEEKDAY(Settings!$C$36,2)-1))+56</f>
        <v>46258</v>
      </c>
      <c r="B20" s="105" t="n">
        <f aca="false">$A20+0</f>
        <v>46258</v>
      </c>
      <c r="C20" s="105" t="n">
        <f aca="false">$A20+1</f>
        <v>46259</v>
      </c>
      <c r="D20" s="105" t="n">
        <f aca="false">$A20+2</f>
        <v>46260</v>
      </c>
      <c r="E20" s="105" t="n">
        <f aca="false">$A20+3</f>
        <v>46261</v>
      </c>
      <c r="F20" s="105" t="n">
        <f aca="false">$A20+4</f>
        <v>46262</v>
      </c>
      <c r="G20" s="106" t="n">
        <f aca="false">$A20+5</f>
        <v>46263</v>
      </c>
      <c r="H20" s="106" t="n">
        <f aca="false">$A20+6</f>
        <v>46264</v>
      </c>
    </row>
    <row r="21" customFormat="false" ht="25.5" hidden="false" customHeight="true" outlineLevel="0" collapsed="false">
      <c r="A21" s="104"/>
      <c r="B21" s="107" t="str">
        <f aca="false">IFERROR(INDEX(Schedule!$B$4:$B$200,MATCH(B20,Schedule!$D$4:$D$200,0))&amp;IF(COUNTIF(Schedule!$D$4:$D$200,B20)&gt;1," +"&amp;(COUNTIF(Schedule!$D$4:$D$200,B20)-1)&amp;" more",""),"")</f>
        <v/>
      </c>
      <c r="C21" s="107" t="str">
        <f aca="false">IFERROR(INDEX(Schedule!$B$4:$B$200,MATCH(C20,Schedule!$D$4:$D$200,0))&amp;IF(COUNTIF(Schedule!$D$4:$D$200,C20)&gt;1," +"&amp;(COUNTIF(Schedule!$D$4:$D$200,C20)-1)&amp;" more",""),"")</f>
        <v/>
      </c>
      <c r="D21" s="107" t="str">
        <f aca="false">IFERROR(INDEX(Schedule!$B$4:$B$200,MATCH(D20,Schedule!$D$4:$D$200,0))&amp;IF(COUNTIF(Schedule!$D$4:$D$200,D20)&gt;1," +"&amp;(COUNTIF(Schedule!$D$4:$D$200,D20)-1)&amp;" more",""),"")</f>
        <v/>
      </c>
      <c r="E21" s="107" t="str">
        <f aca="false">IFERROR(INDEX(Schedule!$B$4:$B$200,MATCH(E20,Schedule!$D$4:$D$200,0))&amp;IF(COUNTIF(Schedule!$D$4:$D$200,E20)&gt;1," +"&amp;(COUNTIF(Schedule!$D$4:$D$200,E20)-1)&amp;" more",""),"")</f>
        <v/>
      </c>
      <c r="F21" s="107" t="str">
        <f aca="false">IFERROR(INDEX(Schedule!$B$4:$B$200,MATCH(F20,Schedule!$D$4:$D$200,0))&amp;IF(COUNTIF(Schedule!$D$4:$D$200,F20)&gt;1," +"&amp;(COUNTIF(Schedule!$D$4:$D$200,F20)-1)&amp;" more",""),"")</f>
        <v/>
      </c>
      <c r="G21" s="108" t="str">
        <f aca="false">IFERROR(INDEX(Schedule!$B$4:$B$200,MATCH(G20,Schedule!$D$4:$D$200,0))&amp;IF(COUNTIF(Schedule!$D$4:$D$200,G20)&gt;1," +"&amp;(COUNTIF(Schedule!$D$4:$D$200,G20)-1)&amp;" more",""),"")</f>
        <v/>
      </c>
      <c r="H21" s="108" t="str">
        <f aca="false">IFERROR(INDEX(Schedule!$B$4:$B$200,MATCH(H20,Schedule!$D$4:$D$200,0))&amp;IF(COUNTIF(Schedule!$D$4:$D$200,H20)&gt;1," +"&amp;(COUNTIF(Schedule!$D$4:$D$200,H20)-1)&amp;" more",""),"")</f>
        <v/>
      </c>
    </row>
    <row r="22" customFormat="false" ht="15" hidden="false" customHeight="true" outlineLevel="0" collapsed="false">
      <c r="A22" s="104" t="n">
        <f aca="false">(Settings!$C$36-(WEEKDAY(Settings!$C$36,2)-1))+63</f>
        <v>46265</v>
      </c>
      <c r="B22" s="105" t="n">
        <f aca="false">$A22+0</f>
        <v>46265</v>
      </c>
      <c r="C22" s="105" t="n">
        <f aca="false">$A22+1</f>
        <v>46266</v>
      </c>
      <c r="D22" s="105" t="n">
        <f aca="false">$A22+2</f>
        <v>46267</v>
      </c>
      <c r="E22" s="105" t="n">
        <f aca="false">$A22+3</f>
        <v>46268</v>
      </c>
      <c r="F22" s="105" t="n">
        <f aca="false">$A22+4</f>
        <v>46269</v>
      </c>
      <c r="G22" s="106" t="n">
        <f aca="false">$A22+5</f>
        <v>46270</v>
      </c>
      <c r="H22" s="106" t="n">
        <f aca="false">$A22+6</f>
        <v>46271</v>
      </c>
    </row>
    <row r="23" customFormat="false" ht="25.5" hidden="false" customHeight="true" outlineLevel="0" collapsed="false">
      <c r="A23" s="104"/>
      <c r="B23" s="107" t="str">
        <f aca="false">IFERROR(INDEX(Schedule!$B$4:$B$200,MATCH(B22,Schedule!$D$4:$D$200,0))&amp;IF(COUNTIF(Schedule!$D$4:$D$200,B22)&gt;1," +"&amp;(COUNTIF(Schedule!$D$4:$D$200,B22)-1)&amp;" more",""),"")</f>
        <v/>
      </c>
      <c r="C23" s="107" t="str">
        <f aca="false">IFERROR(INDEX(Schedule!$B$4:$B$200,MATCH(C22,Schedule!$D$4:$D$200,0))&amp;IF(COUNTIF(Schedule!$D$4:$D$200,C22)&gt;1," +"&amp;(COUNTIF(Schedule!$D$4:$D$200,C22)-1)&amp;" more",""),"")</f>
        <v/>
      </c>
      <c r="D23" s="107" t="str">
        <f aca="false">IFERROR(INDEX(Schedule!$B$4:$B$200,MATCH(D22,Schedule!$D$4:$D$200,0))&amp;IF(COUNTIF(Schedule!$D$4:$D$200,D22)&gt;1," +"&amp;(COUNTIF(Schedule!$D$4:$D$200,D22)-1)&amp;" more",""),"")</f>
        <v/>
      </c>
      <c r="E23" s="107" t="str">
        <f aca="false">IFERROR(INDEX(Schedule!$B$4:$B$200,MATCH(E22,Schedule!$D$4:$D$200,0))&amp;IF(COUNTIF(Schedule!$D$4:$D$200,E22)&gt;1," +"&amp;(COUNTIF(Schedule!$D$4:$D$200,E22)-1)&amp;" more",""),"")</f>
        <v/>
      </c>
      <c r="F23" s="107" t="str">
        <f aca="false">IFERROR(INDEX(Schedule!$B$4:$B$200,MATCH(F22,Schedule!$D$4:$D$200,0))&amp;IF(COUNTIF(Schedule!$D$4:$D$200,F22)&gt;1," +"&amp;(COUNTIF(Schedule!$D$4:$D$200,F22)-1)&amp;" more",""),"")</f>
        <v/>
      </c>
      <c r="G23" s="108" t="str">
        <f aca="false">IFERROR(INDEX(Schedule!$B$4:$B$200,MATCH(G22,Schedule!$D$4:$D$200,0))&amp;IF(COUNTIF(Schedule!$D$4:$D$200,G22)&gt;1," +"&amp;(COUNTIF(Schedule!$D$4:$D$200,G22)-1)&amp;" more",""),"")</f>
        <v/>
      </c>
      <c r="H23" s="108" t="str">
        <f aca="false">IFERROR(INDEX(Schedule!$B$4:$B$200,MATCH(H22,Schedule!$D$4:$D$200,0))&amp;IF(COUNTIF(Schedule!$D$4:$D$200,H22)&gt;1," +"&amp;(COUNTIF(Schedule!$D$4:$D$200,H22)-1)&amp;" more",""),"")</f>
        <v/>
      </c>
    </row>
    <row r="24" customFormat="false" ht="15" hidden="false" customHeight="true" outlineLevel="0" collapsed="false">
      <c r="A24" s="104" t="n">
        <f aca="false">(Settings!$C$36-(WEEKDAY(Settings!$C$36,2)-1))+70</f>
        <v>46272</v>
      </c>
      <c r="B24" s="105" t="n">
        <f aca="false">$A24+0</f>
        <v>46272</v>
      </c>
      <c r="C24" s="105" t="n">
        <f aca="false">$A24+1</f>
        <v>46273</v>
      </c>
      <c r="D24" s="105" t="n">
        <f aca="false">$A24+2</f>
        <v>46274</v>
      </c>
      <c r="E24" s="105" t="n">
        <f aca="false">$A24+3</f>
        <v>46275</v>
      </c>
      <c r="F24" s="105" t="n">
        <f aca="false">$A24+4</f>
        <v>46276</v>
      </c>
      <c r="G24" s="106" t="n">
        <f aca="false">$A24+5</f>
        <v>46277</v>
      </c>
      <c r="H24" s="106" t="n">
        <f aca="false">$A24+6</f>
        <v>46278</v>
      </c>
    </row>
    <row r="25" customFormat="false" ht="25.5" hidden="false" customHeight="true" outlineLevel="0" collapsed="false">
      <c r="A25" s="104"/>
      <c r="B25" s="107" t="str">
        <f aca="false">IFERROR(INDEX(Schedule!$B$4:$B$200,MATCH(B24,Schedule!$D$4:$D$200,0))&amp;IF(COUNTIF(Schedule!$D$4:$D$200,B24)&gt;1," +"&amp;(COUNTIF(Schedule!$D$4:$D$200,B24)-1)&amp;" more",""),"")</f>
        <v/>
      </c>
      <c r="C25" s="107" t="str">
        <f aca="false">IFERROR(INDEX(Schedule!$B$4:$B$200,MATCH(C24,Schedule!$D$4:$D$200,0))&amp;IF(COUNTIF(Schedule!$D$4:$D$200,C24)&gt;1," +"&amp;(COUNTIF(Schedule!$D$4:$D$200,C24)-1)&amp;" more",""),"")</f>
        <v/>
      </c>
      <c r="D25" s="107" t="str">
        <f aca="false">IFERROR(INDEX(Schedule!$B$4:$B$200,MATCH(D24,Schedule!$D$4:$D$200,0))&amp;IF(COUNTIF(Schedule!$D$4:$D$200,D24)&gt;1," +"&amp;(COUNTIF(Schedule!$D$4:$D$200,D24)-1)&amp;" more",""),"")</f>
        <v/>
      </c>
      <c r="E25" s="107" t="str">
        <f aca="false">IFERROR(INDEX(Schedule!$B$4:$B$200,MATCH(E24,Schedule!$D$4:$D$200,0))&amp;IF(COUNTIF(Schedule!$D$4:$D$200,E24)&gt;1," +"&amp;(COUNTIF(Schedule!$D$4:$D$200,E24)-1)&amp;" more",""),"")</f>
        <v/>
      </c>
      <c r="F25" s="107" t="str">
        <f aca="false">IFERROR(INDEX(Schedule!$B$4:$B$200,MATCH(F24,Schedule!$D$4:$D$200,0))&amp;IF(COUNTIF(Schedule!$D$4:$D$200,F24)&gt;1," +"&amp;(COUNTIF(Schedule!$D$4:$D$200,F24)-1)&amp;" more",""),"")</f>
        <v/>
      </c>
      <c r="G25" s="108" t="str">
        <f aca="false">IFERROR(INDEX(Schedule!$B$4:$B$200,MATCH(G24,Schedule!$D$4:$D$200,0))&amp;IF(COUNTIF(Schedule!$D$4:$D$200,G24)&gt;1," +"&amp;(COUNTIF(Schedule!$D$4:$D$200,G24)-1)&amp;" more",""),"")</f>
        <v/>
      </c>
      <c r="H25" s="108" t="str">
        <f aca="false">IFERROR(INDEX(Schedule!$B$4:$B$200,MATCH(H24,Schedule!$D$4:$D$200,0))&amp;IF(COUNTIF(Schedule!$D$4:$D$200,H24)&gt;1," +"&amp;(COUNTIF(Schedule!$D$4:$D$200,H24)-1)&amp;" more",""),"")</f>
        <v/>
      </c>
    </row>
    <row r="26" customFormat="false" ht="15" hidden="false" customHeight="true" outlineLevel="0" collapsed="false">
      <c r="A26" s="104" t="n">
        <f aca="false">(Settings!$C$36-(WEEKDAY(Settings!$C$36,2)-1))+77</f>
        <v>46279</v>
      </c>
      <c r="B26" s="105" t="n">
        <f aca="false">$A26+0</f>
        <v>46279</v>
      </c>
      <c r="C26" s="105" t="n">
        <f aca="false">$A26+1</f>
        <v>46280</v>
      </c>
      <c r="D26" s="105" t="n">
        <f aca="false">$A26+2</f>
        <v>46281</v>
      </c>
      <c r="E26" s="105" t="n">
        <f aca="false">$A26+3</f>
        <v>46282</v>
      </c>
      <c r="F26" s="105" t="n">
        <f aca="false">$A26+4</f>
        <v>46283</v>
      </c>
      <c r="G26" s="106" t="n">
        <f aca="false">$A26+5</f>
        <v>46284</v>
      </c>
      <c r="H26" s="106" t="n">
        <f aca="false">$A26+6</f>
        <v>46285</v>
      </c>
    </row>
    <row r="27" customFormat="false" ht="25.5" hidden="false" customHeight="true" outlineLevel="0" collapsed="false">
      <c r="A27" s="104"/>
      <c r="B27" s="107" t="str">
        <f aca="false">IFERROR(INDEX(Schedule!$B$4:$B$200,MATCH(B26,Schedule!$D$4:$D$200,0))&amp;IF(COUNTIF(Schedule!$D$4:$D$200,B26)&gt;1," +"&amp;(COUNTIF(Schedule!$D$4:$D$200,B26)-1)&amp;" more",""),"")</f>
        <v/>
      </c>
      <c r="C27" s="107" t="str">
        <f aca="false">IFERROR(INDEX(Schedule!$B$4:$B$200,MATCH(C26,Schedule!$D$4:$D$200,0))&amp;IF(COUNTIF(Schedule!$D$4:$D$200,C26)&gt;1," +"&amp;(COUNTIF(Schedule!$D$4:$D$200,C26)-1)&amp;" more",""),"")</f>
        <v/>
      </c>
      <c r="D27" s="107" t="str">
        <f aca="false">IFERROR(INDEX(Schedule!$B$4:$B$200,MATCH(D26,Schedule!$D$4:$D$200,0))&amp;IF(COUNTIF(Schedule!$D$4:$D$200,D26)&gt;1," +"&amp;(COUNTIF(Schedule!$D$4:$D$200,D26)-1)&amp;" more",""),"")</f>
        <v/>
      </c>
      <c r="E27" s="107" t="str">
        <f aca="false">IFERROR(INDEX(Schedule!$B$4:$B$200,MATCH(E26,Schedule!$D$4:$D$200,0))&amp;IF(COUNTIF(Schedule!$D$4:$D$200,E26)&gt;1," +"&amp;(COUNTIF(Schedule!$D$4:$D$200,E26)-1)&amp;" more",""),"")</f>
        <v/>
      </c>
      <c r="F27" s="107" t="str">
        <f aca="false">IFERROR(INDEX(Schedule!$B$4:$B$200,MATCH(F26,Schedule!$D$4:$D$200,0))&amp;IF(COUNTIF(Schedule!$D$4:$D$200,F26)&gt;1," +"&amp;(COUNTIF(Schedule!$D$4:$D$200,F26)-1)&amp;" more",""),"")</f>
        <v/>
      </c>
      <c r="G27" s="108" t="str">
        <f aca="false">IFERROR(INDEX(Schedule!$B$4:$B$200,MATCH(G26,Schedule!$D$4:$D$200,0))&amp;IF(COUNTIF(Schedule!$D$4:$D$200,G26)&gt;1," +"&amp;(COUNTIF(Schedule!$D$4:$D$200,G26)-1)&amp;" more",""),"")</f>
        <v/>
      </c>
      <c r="H27" s="108" t="str">
        <f aca="false">IFERROR(INDEX(Schedule!$B$4:$B$200,MATCH(H26,Schedule!$D$4:$D$200,0))&amp;IF(COUNTIF(Schedule!$D$4:$D$200,H26)&gt;1," +"&amp;(COUNTIF(Schedule!$D$4:$D$200,H26)-1)&amp;" more",""),"")</f>
        <v/>
      </c>
    </row>
    <row r="28" customFormat="false" ht="15" hidden="false" customHeight="true" outlineLevel="0" collapsed="false">
      <c r="A28" s="104" t="n">
        <f aca="false">(Settings!$C$36-(WEEKDAY(Settings!$C$36,2)-1))+84</f>
        <v>46286</v>
      </c>
      <c r="B28" s="105" t="n">
        <f aca="false">$A28+0</f>
        <v>46286</v>
      </c>
      <c r="C28" s="105" t="n">
        <f aca="false">$A28+1</f>
        <v>46287</v>
      </c>
      <c r="D28" s="105" t="n">
        <f aca="false">$A28+2</f>
        <v>46288</v>
      </c>
      <c r="E28" s="105" t="n">
        <f aca="false">$A28+3</f>
        <v>46289</v>
      </c>
      <c r="F28" s="105" t="n">
        <f aca="false">$A28+4</f>
        <v>46290</v>
      </c>
      <c r="G28" s="106" t="n">
        <f aca="false">$A28+5</f>
        <v>46291</v>
      </c>
      <c r="H28" s="106" t="n">
        <f aca="false">$A28+6</f>
        <v>46292</v>
      </c>
    </row>
    <row r="29" customFormat="false" ht="25.5" hidden="false" customHeight="true" outlineLevel="0" collapsed="false">
      <c r="A29" s="104"/>
      <c r="B29" s="107" t="str">
        <f aca="false">IFERROR(INDEX(Schedule!$B$4:$B$200,MATCH(B28,Schedule!$D$4:$D$200,0))&amp;IF(COUNTIF(Schedule!$D$4:$D$200,B28)&gt;1," +"&amp;(COUNTIF(Schedule!$D$4:$D$200,B28)-1)&amp;" more",""),"")</f>
        <v/>
      </c>
      <c r="C29" s="107" t="str">
        <f aca="false">IFERROR(INDEX(Schedule!$B$4:$B$200,MATCH(C28,Schedule!$D$4:$D$200,0))&amp;IF(COUNTIF(Schedule!$D$4:$D$200,C28)&gt;1," +"&amp;(COUNTIF(Schedule!$D$4:$D$200,C28)-1)&amp;" more",""),"")</f>
        <v/>
      </c>
      <c r="D29" s="107" t="str">
        <f aca="false">IFERROR(INDEX(Schedule!$B$4:$B$200,MATCH(D28,Schedule!$D$4:$D$200,0))&amp;IF(COUNTIF(Schedule!$D$4:$D$200,D28)&gt;1," +"&amp;(COUNTIF(Schedule!$D$4:$D$200,D28)-1)&amp;" more",""),"")</f>
        <v/>
      </c>
      <c r="E29" s="107" t="str">
        <f aca="false">IFERROR(INDEX(Schedule!$B$4:$B$200,MATCH(E28,Schedule!$D$4:$D$200,0))&amp;IF(COUNTIF(Schedule!$D$4:$D$200,E28)&gt;1," +"&amp;(COUNTIF(Schedule!$D$4:$D$200,E28)-1)&amp;" more",""),"")</f>
        <v/>
      </c>
      <c r="F29" s="107" t="str">
        <f aca="false">IFERROR(INDEX(Schedule!$B$4:$B$200,MATCH(F28,Schedule!$D$4:$D$200,0))&amp;IF(COUNTIF(Schedule!$D$4:$D$200,F28)&gt;1," +"&amp;(COUNTIF(Schedule!$D$4:$D$200,F28)-1)&amp;" more",""),"")</f>
        <v/>
      </c>
      <c r="G29" s="108" t="str">
        <f aca="false">IFERROR(INDEX(Schedule!$B$4:$B$200,MATCH(G28,Schedule!$D$4:$D$200,0))&amp;IF(COUNTIF(Schedule!$D$4:$D$200,G28)&gt;1," +"&amp;(COUNTIF(Schedule!$D$4:$D$200,G28)-1)&amp;" more",""),"")</f>
        <v/>
      </c>
      <c r="H29" s="108" t="str">
        <f aca="false">IFERROR(INDEX(Schedule!$B$4:$B$200,MATCH(H28,Schedule!$D$4:$D$200,0))&amp;IF(COUNTIF(Schedule!$D$4:$D$200,H28)&gt;1," +"&amp;(COUNTIF(Schedule!$D$4:$D$200,H28)-1)&amp;" more",""),"")</f>
        <v/>
      </c>
    </row>
    <row r="30" customFormat="false" ht="15" hidden="false" customHeight="true" outlineLevel="0" collapsed="false">
      <c r="A30" s="104" t="n">
        <f aca="false">(Settings!$C$36-(WEEKDAY(Settings!$C$36,2)-1))+91</f>
        <v>46293</v>
      </c>
      <c r="B30" s="105" t="n">
        <f aca="false">$A30+0</f>
        <v>46293</v>
      </c>
      <c r="C30" s="105" t="n">
        <f aca="false">$A30+1</f>
        <v>46294</v>
      </c>
      <c r="D30" s="105" t="n">
        <f aca="false">$A30+2</f>
        <v>46295</v>
      </c>
      <c r="E30" s="105" t="n">
        <f aca="false">$A30+3</f>
        <v>46296</v>
      </c>
      <c r="F30" s="105" t="n">
        <f aca="false">$A30+4</f>
        <v>46297</v>
      </c>
      <c r="G30" s="106" t="n">
        <f aca="false">$A30+5</f>
        <v>46298</v>
      </c>
      <c r="H30" s="106" t="n">
        <f aca="false">$A30+6</f>
        <v>46299</v>
      </c>
    </row>
    <row r="31" customFormat="false" ht="25.5" hidden="false" customHeight="true" outlineLevel="0" collapsed="false">
      <c r="A31" s="104"/>
      <c r="B31" s="107" t="str">
        <f aca="false">IFERROR(INDEX(Schedule!$B$4:$B$200,MATCH(B30,Schedule!$D$4:$D$200,0))&amp;IF(COUNTIF(Schedule!$D$4:$D$200,B30)&gt;1," +"&amp;(COUNTIF(Schedule!$D$4:$D$200,B30)-1)&amp;" more",""),"")</f>
        <v/>
      </c>
      <c r="C31" s="107" t="str">
        <f aca="false">IFERROR(INDEX(Schedule!$B$4:$B$200,MATCH(C30,Schedule!$D$4:$D$200,0))&amp;IF(COUNTIF(Schedule!$D$4:$D$200,C30)&gt;1," +"&amp;(COUNTIF(Schedule!$D$4:$D$200,C30)-1)&amp;" more",""),"")</f>
        <v/>
      </c>
      <c r="D31" s="107" t="str">
        <f aca="false">IFERROR(INDEX(Schedule!$B$4:$B$200,MATCH(D30,Schedule!$D$4:$D$200,0))&amp;IF(COUNTIF(Schedule!$D$4:$D$200,D30)&gt;1," +"&amp;(COUNTIF(Schedule!$D$4:$D$200,D30)-1)&amp;" more",""),"")</f>
        <v/>
      </c>
      <c r="E31" s="107" t="str">
        <f aca="false">IFERROR(INDEX(Schedule!$B$4:$B$200,MATCH(E30,Schedule!$D$4:$D$200,0))&amp;IF(COUNTIF(Schedule!$D$4:$D$200,E30)&gt;1," +"&amp;(COUNTIF(Schedule!$D$4:$D$200,E30)-1)&amp;" more",""),"")</f>
        <v/>
      </c>
      <c r="F31" s="107" t="str">
        <f aca="false">IFERROR(INDEX(Schedule!$B$4:$B$200,MATCH(F30,Schedule!$D$4:$D$200,0))&amp;IF(COUNTIF(Schedule!$D$4:$D$200,F30)&gt;1," +"&amp;(COUNTIF(Schedule!$D$4:$D$200,F30)-1)&amp;" more",""),"")</f>
        <v/>
      </c>
      <c r="G31" s="108" t="str">
        <f aca="false">IFERROR(INDEX(Schedule!$B$4:$B$200,MATCH(G30,Schedule!$D$4:$D$200,0))&amp;IF(COUNTIF(Schedule!$D$4:$D$200,G30)&gt;1," +"&amp;(COUNTIF(Schedule!$D$4:$D$200,G30)-1)&amp;" more",""),"")</f>
        <v/>
      </c>
      <c r="H31" s="108" t="str">
        <f aca="false">IFERROR(INDEX(Schedule!$B$4:$B$200,MATCH(H30,Schedule!$D$4:$D$200,0))&amp;IF(COUNTIF(Schedule!$D$4:$D$200,H30)&gt;1," +"&amp;(COUNTIF(Schedule!$D$4:$D$200,H30)-1)&amp;" more",""),"")</f>
        <v/>
      </c>
    </row>
    <row r="32" customFormat="false" ht="15" hidden="false" customHeight="true" outlineLevel="0" collapsed="false">
      <c r="A32" s="104" t="n">
        <f aca="false">(Settings!$C$36-(WEEKDAY(Settings!$C$36,2)-1))+98</f>
        <v>46300</v>
      </c>
      <c r="B32" s="105" t="n">
        <f aca="false">$A32+0</f>
        <v>46300</v>
      </c>
      <c r="C32" s="105" t="n">
        <f aca="false">$A32+1</f>
        <v>46301</v>
      </c>
      <c r="D32" s="105" t="n">
        <f aca="false">$A32+2</f>
        <v>46302</v>
      </c>
      <c r="E32" s="105" t="n">
        <f aca="false">$A32+3</f>
        <v>46303</v>
      </c>
      <c r="F32" s="105" t="n">
        <f aca="false">$A32+4</f>
        <v>46304</v>
      </c>
      <c r="G32" s="106" t="n">
        <f aca="false">$A32+5</f>
        <v>46305</v>
      </c>
      <c r="H32" s="106" t="n">
        <f aca="false">$A32+6</f>
        <v>46306</v>
      </c>
    </row>
    <row r="33" customFormat="false" ht="25.5" hidden="false" customHeight="true" outlineLevel="0" collapsed="false">
      <c r="A33" s="104"/>
      <c r="B33" s="107" t="str">
        <f aca="false">IFERROR(INDEX(Schedule!$B$4:$B$200,MATCH(B32,Schedule!$D$4:$D$200,0))&amp;IF(COUNTIF(Schedule!$D$4:$D$200,B32)&gt;1," +"&amp;(COUNTIF(Schedule!$D$4:$D$200,B32)-1)&amp;" more",""),"")</f>
        <v/>
      </c>
      <c r="C33" s="107" t="str">
        <f aca="false">IFERROR(INDEX(Schedule!$B$4:$B$200,MATCH(C32,Schedule!$D$4:$D$200,0))&amp;IF(COUNTIF(Schedule!$D$4:$D$200,C32)&gt;1," +"&amp;(COUNTIF(Schedule!$D$4:$D$200,C32)-1)&amp;" more",""),"")</f>
        <v/>
      </c>
      <c r="D33" s="107" t="str">
        <f aca="false">IFERROR(INDEX(Schedule!$B$4:$B$200,MATCH(D32,Schedule!$D$4:$D$200,0))&amp;IF(COUNTIF(Schedule!$D$4:$D$200,D32)&gt;1," +"&amp;(COUNTIF(Schedule!$D$4:$D$200,D32)-1)&amp;" more",""),"")</f>
        <v/>
      </c>
      <c r="E33" s="107" t="str">
        <f aca="false">IFERROR(INDEX(Schedule!$B$4:$B$200,MATCH(E32,Schedule!$D$4:$D$200,0))&amp;IF(COUNTIF(Schedule!$D$4:$D$200,E32)&gt;1," +"&amp;(COUNTIF(Schedule!$D$4:$D$200,E32)-1)&amp;" more",""),"")</f>
        <v/>
      </c>
      <c r="F33" s="107" t="str">
        <f aca="false">IFERROR(INDEX(Schedule!$B$4:$B$200,MATCH(F32,Schedule!$D$4:$D$200,0))&amp;IF(COUNTIF(Schedule!$D$4:$D$200,F32)&gt;1," +"&amp;(COUNTIF(Schedule!$D$4:$D$200,F32)-1)&amp;" more",""),"")</f>
        <v/>
      </c>
      <c r="G33" s="108" t="str">
        <f aca="false">IFERROR(INDEX(Schedule!$B$4:$B$200,MATCH(G32,Schedule!$D$4:$D$200,0))&amp;IF(COUNTIF(Schedule!$D$4:$D$200,G32)&gt;1," +"&amp;(COUNTIF(Schedule!$D$4:$D$200,G32)-1)&amp;" more",""),"")</f>
        <v/>
      </c>
      <c r="H33" s="108" t="str">
        <f aca="false">IFERROR(INDEX(Schedule!$B$4:$B$200,MATCH(H32,Schedule!$D$4:$D$200,0))&amp;IF(COUNTIF(Schedule!$D$4:$D$200,H32)&gt;1," +"&amp;(COUNTIF(Schedule!$D$4:$D$200,H32)-1)&amp;" more",""),"")</f>
        <v/>
      </c>
    </row>
    <row r="34" customFormat="false" ht="15" hidden="false" customHeight="true" outlineLevel="0" collapsed="false">
      <c r="A34" s="104" t="n">
        <f aca="false">(Settings!$C$36-(WEEKDAY(Settings!$C$36,2)-1))+105</f>
        <v>46307</v>
      </c>
      <c r="B34" s="105" t="n">
        <f aca="false">$A34+0</f>
        <v>46307</v>
      </c>
      <c r="C34" s="105" t="n">
        <f aca="false">$A34+1</f>
        <v>46308</v>
      </c>
      <c r="D34" s="105" t="n">
        <f aca="false">$A34+2</f>
        <v>46309</v>
      </c>
      <c r="E34" s="105" t="n">
        <f aca="false">$A34+3</f>
        <v>46310</v>
      </c>
      <c r="F34" s="105" t="n">
        <f aca="false">$A34+4</f>
        <v>46311</v>
      </c>
      <c r="G34" s="106" t="n">
        <f aca="false">$A34+5</f>
        <v>46312</v>
      </c>
      <c r="H34" s="106" t="n">
        <f aca="false">$A34+6</f>
        <v>46313</v>
      </c>
    </row>
    <row r="35" customFormat="false" ht="25.5" hidden="false" customHeight="true" outlineLevel="0" collapsed="false">
      <c r="A35" s="104"/>
      <c r="B35" s="107" t="str">
        <f aca="false">IFERROR(INDEX(Schedule!$B$4:$B$200,MATCH(B34,Schedule!$D$4:$D$200,0))&amp;IF(COUNTIF(Schedule!$D$4:$D$200,B34)&gt;1," +"&amp;(COUNTIF(Schedule!$D$4:$D$200,B34)-1)&amp;" more",""),"")</f>
        <v/>
      </c>
      <c r="C35" s="107" t="str">
        <f aca="false">IFERROR(INDEX(Schedule!$B$4:$B$200,MATCH(C34,Schedule!$D$4:$D$200,0))&amp;IF(COUNTIF(Schedule!$D$4:$D$200,C34)&gt;1," +"&amp;(COUNTIF(Schedule!$D$4:$D$200,C34)-1)&amp;" more",""),"")</f>
        <v/>
      </c>
      <c r="D35" s="107" t="str">
        <f aca="false">IFERROR(INDEX(Schedule!$B$4:$B$200,MATCH(D34,Schedule!$D$4:$D$200,0))&amp;IF(COUNTIF(Schedule!$D$4:$D$200,D34)&gt;1," +"&amp;(COUNTIF(Schedule!$D$4:$D$200,D34)-1)&amp;" more",""),"")</f>
        <v/>
      </c>
      <c r="E35" s="107" t="str">
        <f aca="false">IFERROR(INDEX(Schedule!$B$4:$B$200,MATCH(E34,Schedule!$D$4:$D$200,0))&amp;IF(COUNTIF(Schedule!$D$4:$D$200,E34)&gt;1," +"&amp;(COUNTIF(Schedule!$D$4:$D$200,E34)-1)&amp;" more",""),"")</f>
        <v/>
      </c>
      <c r="F35" s="107" t="str">
        <f aca="false">IFERROR(INDEX(Schedule!$B$4:$B$200,MATCH(F34,Schedule!$D$4:$D$200,0))&amp;IF(COUNTIF(Schedule!$D$4:$D$200,F34)&gt;1," +"&amp;(COUNTIF(Schedule!$D$4:$D$200,F34)-1)&amp;" more",""),"")</f>
        <v/>
      </c>
      <c r="G35" s="108" t="str">
        <f aca="false">IFERROR(INDEX(Schedule!$B$4:$B$200,MATCH(G34,Schedule!$D$4:$D$200,0))&amp;IF(COUNTIF(Schedule!$D$4:$D$200,G34)&gt;1," +"&amp;(COUNTIF(Schedule!$D$4:$D$200,G34)-1)&amp;" more",""),"")</f>
        <v/>
      </c>
      <c r="H35" s="108" t="str">
        <f aca="false">IFERROR(INDEX(Schedule!$B$4:$B$200,MATCH(H34,Schedule!$D$4:$D$200,0))&amp;IF(COUNTIF(Schedule!$D$4:$D$200,H34)&gt;1," +"&amp;(COUNTIF(Schedule!$D$4:$D$200,H34)-1)&amp;" more",""),"")</f>
        <v/>
      </c>
    </row>
    <row r="36" customFormat="false" ht="15" hidden="false" customHeight="true" outlineLevel="0" collapsed="false">
      <c r="A36" s="104" t="n">
        <f aca="false">(Settings!$C$36-(WEEKDAY(Settings!$C$36,2)-1))+112</f>
        <v>46314</v>
      </c>
      <c r="B36" s="105" t="n">
        <f aca="false">$A36+0</f>
        <v>46314</v>
      </c>
      <c r="C36" s="105" t="n">
        <f aca="false">$A36+1</f>
        <v>46315</v>
      </c>
      <c r="D36" s="105" t="n">
        <f aca="false">$A36+2</f>
        <v>46316</v>
      </c>
      <c r="E36" s="105" t="n">
        <f aca="false">$A36+3</f>
        <v>46317</v>
      </c>
      <c r="F36" s="105" t="n">
        <f aca="false">$A36+4</f>
        <v>46318</v>
      </c>
      <c r="G36" s="106" t="n">
        <f aca="false">$A36+5</f>
        <v>46319</v>
      </c>
      <c r="H36" s="106" t="n">
        <f aca="false">$A36+6</f>
        <v>46320</v>
      </c>
    </row>
    <row r="37" customFormat="false" ht="25.5" hidden="false" customHeight="true" outlineLevel="0" collapsed="false">
      <c r="A37" s="104"/>
      <c r="B37" s="107" t="str">
        <f aca="false">IFERROR(INDEX(Schedule!$B$4:$B$200,MATCH(B36,Schedule!$D$4:$D$200,0))&amp;IF(COUNTIF(Schedule!$D$4:$D$200,B36)&gt;1," +"&amp;(COUNTIF(Schedule!$D$4:$D$200,B36)-1)&amp;" more",""),"")</f>
        <v/>
      </c>
      <c r="C37" s="107" t="str">
        <f aca="false">IFERROR(INDEX(Schedule!$B$4:$B$200,MATCH(C36,Schedule!$D$4:$D$200,0))&amp;IF(COUNTIF(Schedule!$D$4:$D$200,C36)&gt;1," +"&amp;(COUNTIF(Schedule!$D$4:$D$200,C36)-1)&amp;" more",""),"")</f>
        <v/>
      </c>
      <c r="D37" s="107" t="str">
        <f aca="false">IFERROR(INDEX(Schedule!$B$4:$B$200,MATCH(D36,Schedule!$D$4:$D$200,0))&amp;IF(COUNTIF(Schedule!$D$4:$D$200,D36)&gt;1," +"&amp;(COUNTIF(Schedule!$D$4:$D$200,D36)-1)&amp;" more",""),"")</f>
        <v/>
      </c>
      <c r="E37" s="107" t="str">
        <f aca="false">IFERROR(INDEX(Schedule!$B$4:$B$200,MATCH(E36,Schedule!$D$4:$D$200,0))&amp;IF(COUNTIF(Schedule!$D$4:$D$200,E36)&gt;1," +"&amp;(COUNTIF(Schedule!$D$4:$D$200,E36)-1)&amp;" more",""),"")</f>
        <v/>
      </c>
      <c r="F37" s="107" t="str">
        <f aca="false">IFERROR(INDEX(Schedule!$B$4:$B$200,MATCH(F36,Schedule!$D$4:$D$200,0))&amp;IF(COUNTIF(Schedule!$D$4:$D$200,F36)&gt;1," +"&amp;(COUNTIF(Schedule!$D$4:$D$200,F36)-1)&amp;" more",""),"")</f>
        <v/>
      </c>
      <c r="G37" s="108" t="str">
        <f aca="false">IFERROR(INDEX(Schedule!$B$4:$B$200,MATCH(G36,Schedule!$D$4:$D$200,0))&amp;IF(COUNTIF(Schedule!$D$4:$D$200,G36)&gt;1," +"&amp;(COUNTIF(Schedule!$D$4:$D$200,G36)-1)&amp;" more",""),"")</f>
        <v/>
      </c>
      <c r="H37" s="108" t="str">
        <f aca="false">IFERROR(INDEX(Schedule!$B$4:$B$200,MATCH(H36,Schedule!$D$4:$D$200,0))&amp;IF(COUNTIF(Schedule!$D$4:$D$200,H36)&gt;1," +"&amp;(COUNTIF(Schedule!$D$4:$D$200,H36)-1)&amp;" more",""),"")</f>
        <v/>
      </c>
    </row>
    <row r="38" customFormat="false" ht="15" hidden="false" customHeight="true" outlineLevel="0" collapsed="false">
      <c r="A38" s="104" t="n">
        <f aca="false">(Settings!$C$36-(WEEKDAY(Settings!$C$36,2)-1))+119</f>
        <v>46321</v>
      </c>
      <c r="B38" s="105" t="n">
        <f aca="false">$A38+0</f>
        <v>46321</v>
      </c>
      <c r="C38" s="105" t="n">
        <f aca="false">$A38+1</f>
        <v>46322</v>
      </c>
      <c r="D38" s="105" t="n">
        <f aca="false">$A38+2</f>
        <v>46323</v>
      </c>
      <c r="E38" s="105" t="n">
        <f aca="false">$A38+3</f>
        <v>46324</v>
      </c>
      <c r="F38" s="105" t="n">
        <f aca="false">$A38+4</f>
        <v>46325</v>
      </c>
      <c r="G38" s="106" t="n">
        <f aca="false">$A38+5</f>
        <v>46326</v>
      </c>
      <c r="H38" s="106" t="n">
        <f aca="false">$A38+6</f>
        <v>46327</v>
      </c>
    </row>
    <row r="39" customFormat="false" ht="25.5" hidden="false" customHeight="true" outlineLevel="0" collapsed="false">
      <c r="A39" s="104"/>
      <c r="B39" s="107" t="str">
        <f aca="false">IFERROR(INDEX(Schedule!$B$4:$B$200,MATCH(B38,Schedule!$D$4:$D$200,0))&amp;IF(COUNTIF(Schedule!$D$4:$D$200,B38)&gt;1," +"&amp;(COUNTIF(Schedule!$D$4:$D$200,B38)-1)&amp;" more",""),"")</f>
        <v/>
      </c>
      <c r="C39" s="107" t="str">
        <f aca="false">IFERROR(INDEX(Schedule!$B$4:$B$200,MATCH(C38,Schedule!$D$4:$D$200,0))&amp;IF(COUNTIF(Schedule!$D$4:$D$200,C38)&gt;1," +"&amp;(COUNTIF(Schedule!$D$4:$D$200,C38)-1)&amp;" more",""),"")</f>
        <v/>
      </c>
      <c r="D39" s="107" t="str">
        <f aca="false">IFERROR(INDEX(Schedule!$B$4:$B$200,MATCH(D38,Schedule!$D$4:$D$200,0))&amp;IF(COUNTIF(Schedule!$D$4:$D$200,D38)&gt;1," +"&amp;(COUNTIF(Schedule!$D$4:$D$200,D38)-1)&amp;" more",""),"")</f>
        <v/>
      </c>
      <c r="E39" s="107" t="str">
        <f aca="false">IFERROR(INDEX(Schedule!$B$4:$B$200,MATCH(E38,Schedule!$D$4:$D$200,0))&amp;IF(COUNTIF(Schedule!$D$4:$D$200,E38)&gt;1," +"&amp;(COUNTIF(Schedule!$D$4:$D$200,E38)-1)&amp;" more",""),"")</f>
        <v/>
      </c>
      <c r="F39" s="107" t="str">
        <f aca="false">IFERROR(INDEX(Schedule!$B$4:$B$200,MATCH(F38,Schedule!$D$4:$D$200,0))&amp;IF(COUNTIF(Schedule!$D$4:$D$200,F38)&gt;1," +"&amp;(COUNTIF(Schedule!$D$4:$D$200,F38)-1)&amp;" more",""),"")</f>
        <v/>
      </c>
      <c r="G39" s="108" t="str">
        <f aca="false">IFERROR(INDEX(Schedule!$B$4:$B$200,MATCH(G38,Schedule!$D$4:$D$200,0))&amp;IF(COUNTIF(Schedule!$D$4:$D$200,G38)&gt;1," +"&amp;(COUNTIF(Schedule!$D$4:$D$200,G38)-1)&amp;" more",""),"")</f>
        <v/>
      </c>
      <c r="H39" s="108" t="str">
        <f aca="false">IFERROR(INDEX(Schedule!$B$4:$B$200,MATCH(H38,Schedule!$D$4:$D$200,0))&amp;IF(COUNTIF(Schedule!$D$4:$D$200,H38)&gt;1," +"&amp;(COUNTIF(Schedule!$D$4:$D$200,H38)-1)&amp;" more",""),"")</f>
        <v/>
      </c>
    </row>
    <row r="40" customFormat="false" ht="15" hidden="false" customHeight="true" outlineLevel="0" collapsed="false">
      <c r="A40" s="104" t="n">
        <f aca="false">(Settings!$C$36-(WEEKDAY(Settings!$C$36,2)-1))+126</f>
        <v>46328</v>
      </c>
      <c r="B40" s="105" t="n">
        <f aca="false">$A40+0</f>
        <v>46328</v>
      </c>
      <c r="C40" s="105" t="n">
        <f aca="false">$A40+1</f>
        <v>46329</v>
      </c>
      <c r="D40" s="105" t="n">
        <f aca="false">$A40+2</f>
        <v>46330</v>
      </c>
      <c r="E40" s="105" t="n">
        <f aca="false">$A40+3</f>
        <v>46331</v>
      </c>
      <c r="F40" s="105" t="n">
        <f aca="false">$A40+4</f>
        <v>46332</v>
      </c>
      <c r="G40" s="106" t="n">
        <f aca="false">$A40+5</f>
        <v>46333</v>
      </c>
      <c r="H40" s="106" t="n">
        <f aca="false">$A40+6</f>
        <v>46334</v>
      </c>
    </row>
    <row r="41" customFormat="false" ht="25.5" hidden="false" customHeight="true" outlineLevel="0" collapsed="false">
      <c r="A41" s="104"/>
      <c r="B41" s="107" t="str">
        <f aca="false">IFERROR(INDEX(Schedule!$B$4:$B$200,MATCH(B40,Schedule!$D$4:$D$200,0))&amp;IF(COUNTIF(Schedule!$D$4:$D$200,B40)&gt;1," +"&amp;(COUNTIF(Schedule!$D$4:$D$200,B40)-1)&amp;" more",""),"")</f>
        <v/>
      </c>
      <c r="C41" s="107" t="str">
        <f aca="false">IFERROR(INDEX(Schedule!$B$4:$B$200,MATCH(C40,Schedule!$D$4:$D$200,0))&amp;IF(COUNTIF(Schedule!$D$4:$D$200,C40)&gt;1," +"&amp;(COUNTIF(Schedule!$D$4:$D$200,C40)-1)&amp;" more",""),"")</f>
        <v/>
      </c>
      <c r="D41" s="107" t="str">
        <f aca="false">IFERROR(INDEX(Schedule!$B$4:$B$200,MATCH(D40,Schedule!$D$4:$D$200,0))&amp;IF(COUNTIF(Schedule!$D$4:$D$200,D40)&gt;1," +"&amp;(COUNTIF(Schedule!$D$4:$D$200,D40)-1)&amp;" more",""),"")</f>
        <v/>
      </c>
      <c r="E41" s="107" t="str">
        <f aca="false">IFERROR(INDEX(Schedule!$B$4:$B$200,MATCH(E40,Schedule!$D$4:$D$200,0))&amp;IF(COUNTIF(Schedule!$D$4:$D$200,E40)&gt;1," +"&amp;(COUNTIF(Schedule!$D$4:$D$200,E40)-1)&amp;" more",""),"")</f>
        <v/>
      </c>
      <c r="F41" s="107" t="str">
        <f aca="false">IFERROR(INDEX(Schedule!$B$4:$B$200,MATCH(F40,Schedule!$D$4:$D$200,0))&amp;IF(COUNTIF(Schedule!$D$4:$D$200,F40)&gt;1," +"&amp;(COUNTIF(Schedule!$D$4:$D$200,F40)-1)&amp;" more",""),"")</f>
        <v/>
      </c>
      <c r="G41" s="108" t="str">
        <f aca="false">IFERROR(INDEX(Schedule!$B$4:$B$200,MATCH(G40,Schedule!$D$4:$D$200,0))&amp;IF(COUNTIF(Schedule!$D$4:$D$200,G40)&gt;1," +"&amp;(COUNTIF(Schedule!$D$4:$D$200,G40)-1)&amp;" more",""),"")</f>
        <v/>
      </c>
      <c r="H41" s="108" t="str">
        <f aca="false">IFERROR(INDEX(Schedule!$B$4:$B$200,MATCH(H40,Schedule!$D$4:$D$200,0))&amp;IF(COUNTIF(Schedule!$D$4:$D$200,H40)&gt;1," +"&amp;(COUNTIF(Schedule!$D$4:$D$200,H40)-1)&amp;" more",""),"")</f>
        <v/>
      </c>
    </row>
    <row r="42" customFormat="false" ht="15" hidden="false" customHeight="true" outlineLevel="0" collapsed="false">
      <c r="A42" s="104" t="n">
        <f aca="false">(Settings!$C$36-(WEEKDAY(Settings!$C$36,2)-1))+133</f>
        <v>46335</v>
      </c>
      <c r="B42" s="105" t="n">
        <f aca="false">$A42+0</f>
        <v>46335</v>
      </c>
      <c r="C42" s="105" t="n">
        <f aca="false">$A42+1</f>
        <v>46336</v>
      </c>
      <c r="D42" s="105" t="n">
        <f aca="false">$A42+2</f>
        <v>46337</v>
      </c>
      <c r="E42" s="105" t="n">
        <f aca="false">$A42+3</f>
        <v>46338</v>
      </c>
      <c r="F42" s="105" t="n">
        <f aca="false">$A42+4</f>
        <v>46339</v>
      </c>
      <c r="G42" s="106" t="n">
        <f aca="false">$A42+5</f>
        <v>46340</v>
      </c>
      <c r="H42" s="106" t="n">
        <f aca="false">$A42+6</f>
        <v>46341</v>
      </c>
    </row>
    <row r="43" customFormat="false" ht="25.5" hidden="false" customHeight="true" outlineLevel="0" collapsed="false">
      <c r="A43" s="104"/>
      <c r="B43" s="107" t="str">
        <f aca="false">IFERROR(INDEX(Schedule!$B$4:$B$200,MATCH(B42,Schedule!$D$4:$D$200,0))&amp;IF(COUNTIF(Schedule!$D$4:$D$200,B42)&gt;1," +"&amp;(COUNTIF(Schedule!$D$4:$D$200,B42)-1)&amp;" more",""),"")</f>
        <v/>
      </c>
      <c r="C43" s="107" t="str">
        <f aca="false">IFERROR(INDEX(Schedule!$B$4:$B$200,MATCH(C42,Schedule!$D$4:$D$200,0))&amp;IF(COUNTIF(Schedule!$D$4:$D$200,C42)&gt;1," +"&amp;(COUNTIF(Schedule!$D$4:$D$200,C42)-1)&amp;" more",""),"")</f>
        <v/>
      </c>
      <c r="D43" s="107" t="str">
        <f aca="false">IFERROR(INDEX(Schedule!$B$4:$B$200,MATCH(D42,Schedule!$D$4:$D$200,0))&amp;IF(COUNTIF(Schedule!$D$4:$D$200,D42)&gt;1," +"&amp;(COUNTIF(Schedule!$D$4:$D$200,D42)-1)&amp;" more",""),"")</f>
        <v/>
      </c>
      <c r="E43" s="107" t="str">
        <f aca="false">IFERROR(INDEX(Schedule!$B$4:$B$200,MATCH(E42,Schedule!$D$4:$D$200,0))&amp;IF(COUNTIF(Schedule!$D$4:$D$200,E42)&gt;1," +"&amp;(COUNTIF(Schedule!$D$4:$D$200,E42)-1)&amp;" more",""),"")</f>
        <v/>
      </c>
      <c r="F43" s="107" t="str">
        <f aca="false">IFERROR(INDEX(Schedule!$B$4:$B$200,MATCH(F42,Schedule!$D$4:$D$200,0))&amp;IF(COUNTIF(Schedule!$D$4:$D$200,F42)&gt;1," +"&amp;(COUNTIF(Schedule!$D$4:$D$200,F42)-1)&amp;" more",""),"")</f>
        <v/>
      </c>
      <c r="G43" s="108" t="str">
        <f aca="false">IFERROR(INDEX(Schedule!$B$4:$B$200,MATCH(G42,Schedule!$D$4:$D$200,0))&amp;IF(COUNTIF(Schedule!$D$4:$D$200,G42)&gt;1," +"&amp;(COUNTIF(Schedule!$D$4:$D$200,G42)-1)&amp;" more",""),"")</f>
        <v/>
      </c>
      <c r="H43" s="108" t="str">
        <f aca="false">IFERROR(INDEX(Schedule!$B$4:$B$200,MATCH(H42,Schedule!$D$4:$D$200,0))&amp;IF(COUNTIF(Schedule!$D$4:$D$200,H42)&gt;1," +"&amp;(COUNTIF(Schedule!$D$4:$D$200,H42)-1)&amp;" more",""),"")</f>
        <v/>
      </c>
    </row>
    <row r="44" customFormat="false" ht="15" hidden="false" customHeight="true" outlineLevel="0" collapsed="false">
      <c r="A44" s="104" t="n">
        <f aca="false">(Settings!$C$36-(WEEKDAY(Settings!$C$36,2)-1))+140</f>
        <v>46342</v>
      </c>
      <c r="B44" s="105" t="n">
        <f aca="false">$A44+0</f>
        <v>46342</v>
      </c>
      <c r="C44" s="105" t="n">
        <f aca="false">$A44+1</f>
        <v>46343</v>
      </c>
      <c r="D44" s="105" t="n">
        <f aca="false">$A44+2</f>
        <v>46344</v>
      </c>
      <c r="E44" s="105" t="n">
        <f aca="false">$A44+3</f>
        <v>46345</v>
      </c>
      <c r="F44" s="105" t="n">
        <f aca="false">$A44+4</f>
        <v>46346</v>
      </c>
      <c r="G44" s="106" t="n">
        <f aca="false">$A44+5</f>
        <v>46347</v>
      </c>
      <c r="H44" s="106" t="n">
        <f aca="false">$A44+6</f>
        <v>46348</v>
      </c>
    </row>
    <row r="45" customFormat="false" ht="25.5" hidden="false" customHeight="true" outlineLevel="0" collapsed="false">
      <c r="A45" s="104"/>
      <c r="B45" s="107" t="str">
        <f aca="false">IFERROR(INDEX(Schedule!$B$4:$B$200,MATCH(B44,Schedule!$D$4:$D$200,0))&amp;IF(COUNTIF(Schedule!$D$4:$D$200,B44)&gt;1," +"&amp;(COUNTIF(Schedule!$D$4:$D$200,B44)-1)&amp;" more",""),"")</f>
        <v/>
      </c>
      <c r="C45" s="107" t="str">
        <f aca="false">IFERROR(INDEX(Schedule!$B$4:$B$200,MATCH(C44,Schedule!$D$4:$D$200,0))&amp;IF(COUNTIF(Schedule!$D$4:$D$200,C44)&gt;1," +"&amp;(COUNTIF(Schedule!$D$4:$D$200,C44)-1)&amp;" more",""),"")</f>
        <v/>
      </c>
      <c r="D45" s="107" t="str">
        <f aca="false">IFERROR(INDEX(Schedule!$B$4:$B$200,MATCH(D44,Schedule!$D$4:$D$200,0))&amp;IF(COUNTIF(Schedule!$D$4:$D$200,D44)&gt;1," +"&amp;(COUNTIF(Schedule!$D$4:$D$200,D44)-1)&amp;" more",""),"")</f>
        <v/>
      </c>
      <c r="E45" s="107" t="str">
        <f aca="false">IFERROR(INDEX(Schedule!$B$4:$B$200,MATCH(E44,Schedule!$D$4:$D$200,0))&amp;IF(COUNTIF(Schedule!$D$4:$D$200,E44)&gt;1," +"&amp;(COUNTIF(Schedule!$D$4:$D$200,E44)-1)&amp;" more",""),"")</f>
        <v/>
      </c>
      <c r="F45" s="107" t="str">
        <f aca="false">IFERROR(INDEX(Schedule!$B$4:$B$200,MATCH(F44,Schedule!$D$4:$D$200,0))&amp;IF(COUNTIF(Schedule!$D$4:$D$200,F44)&gt;1," +"&amp;(COUNTIF(Schedule!$D$4:$D$200,F44)-1)&amp;" more",""),"")</f>
        <v/>
      </c>
      <c r="G45" s="108" t="str">
        <f aca="false">IFERROR(INDEX(Schedule!$B$4:$B$200,MATCH(G44,Schedule!$D$4:$D$200,0))&amp;IF(COUNTIF(Schedule!$D$4:$D$200,G44)&gt;1," +"&amp;(COUNTIF(Schedule!$D$4:$D$200,G44)-1)&amp;" more",""),"")</f>
        <v/>
      </c>
      <c r="H45" s="108" t="str">
        <f aca="false">IFERROR(INDEX(Schedule!$B$4:$B$200,MATCH(H44,Schedule!$D$4:$D$200,0))&amp;IF(COUNTIF(Schedule!$D$4:$D$200,H44)&gt;1," +"&amp;(COUNTIF(Schedule!$D$4:$D$200,H44)-1)&amp;" more",""),"")</f>
        <v/>
      </c>
    </row>
    <row r="46" customFormat="false" ht="15" hidden="false" customHeight="true" outlineLevel="0" collapsed="false">
      <c r="A46" s="104" t="n">
        <f aca="false">(Settings!$C$36-(WEEKDAY(Settings!$C$36,2)-1))+147</f>
        <v>46349</v>
      </c>
      <c r="B46" s="105" t="n">
        <f aca="false">$A46+0</f>
        <v>46349</v>
      </c>
      <c r="C46" s="105" t="n">
        <f aca="false">$A46+1</f>
        <v>46350</v>
      </c>
      <c r="D46" s="105" t="n">
        <f aca="false">$A46+2</f>
        <v>46351</v>
      </c>
      <c r="E46" s="105" t="n">
        <f aca="false">$A46+3</f>
        <v>46352</v>
      </c>
      <c r="F46" s="105" t="n">
        <f aca="false">$A46+4</f>
        <v>46353</v>
      </c>
      <c r="G46" s="106" t="n">
        <f aca="false">$A46+5</f>
        <v>46354</v>
      </c>
      <c r="H46" s="106" t="n">
        <f aca="false">$A46+6</f>
        <v>46355</v>
      </c>
    </row>
    <row r="47" customFormat="false" ht="25.5" hidden="false" customHeight="true" outlineLevel="0" collapsed="false">
      <c r="A47" s="104"/>
      <c r="B47" s="107" t="str">
        <f aca="false">IFERROR(INDEX(Schedule!$B$4:$B$200,MATCH(B46,Schedule!$D$4:$D$200,0))&amp;IF(COUNTIF(Schedule!$D$4:$D$200,B46)&gt;1," +"&amp;(COUNTIF(Schedule!$D$4:$D$200,B46)-1)&amp;" more",""),"")</f>
        <v/>
      </c>
      <c r="C47" s="107" t="str">
        <f aca="false">IFERROR(INDEX(Schedule!$B$4:$B$200,MATCH(C46,Schedule!$D$4:$D$200,0))&amp;IF(COUNTIF(Schedule!$D$4:$D$200,C46)&gt;1," +"&amp;(COUNTIF(Schedule!$D$4:$D$200,C46)-1)&amp;" more",""),"")</f>
        <v/>
      </c>
      <c r="D47" s="107" t="str">
        <f aca="false">IFERROR(INDEX(Schedule!$B$4:$B$200,MATCH(D46,Schedule!$D$4:$D$200,0))&amp;IF(COUNTIF(Schedule!$D$4:$D$200,D46)&gt;1," +"&amp;(COUNTIF(Schedule!$D$4:$D$200,D46)-1)&amp;" more",""),"")</f>
        <v/>
      </c>
      <c r="E47" s="107" t="str">
        <f aca="false">IFERROR(INDEX(Schedule!$B$4:$B$200,MATCH(E46,Schedule!$D$4:$D$200,0))&amp;IF(COUNTIF(Schedule!$D$4:$D$200,E46)&gt;1," +"&amp;(COUNTIF(Schedule!$D$4:$D$200,E46)-1)&amp;" more",""),"")</f>
        <v/>
      </c>
      <c r="F47" s="107" t="str">
        <f aca="false">IFERROR(INDEX(Schedule!$B$4:$B$200,MATCH(F46,Schedule!$D$4:$D$200,0))&amp;IF(COUNTIF(Schedule!$D$4:$D$200,F46)&gt;1," +"&amp;(COUNTIF(Schedule!$D$4:$D$200,F46)-1)&amp;" more",""),"")</f>
        <v/>
      </c>
      <c r="G47" s="108" t="str">
        <f aca="false">IFERROR(INDEX(Schedule!$B$4:$B$200,MATCH(G46,Schedule!$D$4:$D$200,0))&amp;IF(COUNTIF(Schedule!$D$4:$D$200,G46)&gt;1," +"&amp;(COUNTIF(Schedule!$D$4:$D$200,G46)-1)&amp;" more",""),"")</f>
        <v/>
      </c>
      <c r="H47" s="108" t="str">
        <f aca="false">IFERROR(INDEX(Schedule!$B$4:$B$200,MATCH(H46,Schedule!$D$4:$D$200,0))&amp;IF(COUNTIF(Schedule!$D$4:$D$200,H46)&gt;1," +"&amp;(COUNTIF(Schedule!$D$4:$D$200,H46)-1)&amp;" more",""),"")</f>
        <v/>
      </c>
    </row>
    <row r="48" customFormat="false" ht="15" hidden="false" customHeight="true" outlineLevel="0" collapsed="false">
      <c r="A48" s="104" t="n">
        <f aca="false">(Settings!$C$36-(WEEKDAY(Settings!$C$36,2)-1))+154</f>
        <v>46356</v>
      </c>
      <c r="B48" s="105" t="n">
        <f aca="false">$A48+0</f>
        <v>46356</v>
      </c>
      <c r="C48" s="105" t="n">
        <f aca="false">$A48+1</f>
        <v>46357</v>
      </c>
      <c r="D48" s="105" t="n">
        <f aca="false">$A48+2</f>
        <v>46358</v>
      </c>
      <c r="E48" s="105" t="n">
        <f aca="false">$A48+3</f>
        <v>46359</v>
      </c>
      <c r="F48" s="105" t="n">
        <f aca="false">$A48+4</f>
        <v>46360</v>
      </c>
      <c r="G48" s="106" t="n">
        <f aca="false">$A48+5</f>
        <v>46361</v>
      </c>
      <c r="H48" s="106" t="n">
        <f aca="false">$A48+6</f>
        <v>46362</v>
      </c>
    </row>
    <row r="49" customFormat="false" ht="25.5" hidden="false" customHeight="true" outlineLevel="0" collapsed="false">
      <c r="A49" s="104"/>
      <c r="B49" s="107" t="str">
        <f aca="false">IFERROR(INDEX(Schedule!$B$4:$B$200,MATCH(B48,Schedule!$D$4:$D$200,0))&amp;IF(COUNTIF(Schedule!$D$4:$D$200,B48)&gt;1," +"&amp;(COUNTIF(Schedule!$D$4:$D$200,B48)-1)&amp;" more",""),"")</f>
        <v/>
      </c>
      <c r="C49" s="107" t="str">
        <f aca="false">IFERROR(INDEX(Schedule!$B$4:$B$200,MATCH(C48,Schedule!$D$4:$D$200,0))&amp;IF(COUNTIF(Schedule!$D$4:$D$200,C48)&gt;1," +"&amp;(COUNTIF(Schedule!$D$4:$D$200,C48)-1)&amp;" more",""),"")</f>
        <v/>
      </c>
      <c r="D49" s="107" t="str">
        <f aca="false">IFERROR(INDEX(Schedule!$B$4:$B$200,MATCH(D48,Schedule!$D$4:$D$200,0))&amp;IF(COUNTIF(Schedule!$D$4:$D$200,D48)&gt;1," +"&amp;(COUNTIF(Schedule!$D$4:$D$200,D48)-1)&amp;" more",""),"")</f>
        <v/>
      </c>
      <c r="E49" s="107" t="str">
        <f aca="false">IFERROR(INDEX(Schedule!$B$4:$B$200,MATCH(E48,Schedule!$D$4:$D$200,0))&amp;IF(COUNTIF(Schedule!$D$4:$D$200,E48)&gt;1," +"&amp;(COUNTIF(Schedule!$D$4:$D$200,E48)-1)&amp;" more",""),"")</f>
        <v/>
      </c>
      <c r="F49" s="107" t="str">
        <f aca="false">IFERROR(INDEX(Schedule!$B$4:$B$200,MATCH(F48,Schedule!$D$4:$D$200,0))&amp;IF(COUNTIF(Schedule!$D$4:$D$200,F48)&gt;1," +"&amp;(COUNTIF(Schedule!$D$4:$D$200,F48)-1)&amp;" more",""),"")</f>
        <v/>
      </c>
      <c r="G49" s="108" t="str">
        <f aca="false">IFERROR(INDEX(Schedule!$B$4:$B$200,MATCH(G48,Schedule!$D$4:$D$200,0))&amp;IF(COUNTIF(Schedule!$D$4:$D$200,G48)&gt;1," +"&amp;(COUNTIF(Schedule!$D$4:$D$200,G48)-1)&amp;" more",""),"")</f>
        <v/>
      </c>
      <c r="H49" s="108" t="str">
        <f aca="false">IFERROR(INDEX(Schedule!$B$4:$B$200,MATCH(H48,Schedule!$D$4:$D$200,0))&amp;IF(COUNTIF(Schedule!$D$4:$D$200,H48)&gt;1," +"&amp;(COUNTIF(Schedule!$D$4:$D$200,H48)-1)&amp;" more",""),"")</f>
        <v/>
      </c>
    </row>
    <row r="50" customFormat="false" ht="15" hidden="false" customHeight="true" outlineLevel="0" collapsed="false">
      <c r="A50" s="104" t="n">
        <f aca="false">(Settings!$C$36-(WEEKDAY(Settings!$C$36,2)-1))+161</f>
        <v>46363</v>
      </c>
      <c r="B50" s="105" t="n">
        <f aca="false">$A50+0</f>
        <v>46363</v>
      </c>
      <c r="C50" s="105" t="n">
        <f aca="false">$A50+1</f>
        <v>46364</v>
      </c>
      <c r="D50" s="105" t="n">
        <f aca="false">$A50+2</f>
        <v>46365</v>
      </c>
      <c r="E50" s="105" t="n">
        <f aca="false">$A50+3</f>
        <v>46366</v>
      </c>
      <c r="F50" s="105" t="n">
        <f aca="false">$A50+4</f>
        <v>46367</v>
      </c>
      <c r="G50" s="106" t="n">
        <f aca="false">$A50+5</f>
        <v>46368</v>
      </c>
      <c r="H50" s="106" t="n">
        <f aca="false">$A50+6</f>
        <v>46369</v>
      </c>
    </row>
    <row r="51" customFormat="false" ht="25.5" hidden="false" customHeight="true" outlineLevel="0" collapsed="false">
      <c r="A51" s="104"/>
      <c r="B51" s="107" t="str">
        <f aca="false">IFERROR(INDEX(Schedule!$B$4:$B$200,MATCH(B50,Schedule!$D$4:$D$200,0))&amp;IF(COUNTIF(Schedule!$D$4:$D$200,B50)&gt;1," +"&amp;(COUNTIF(Schedule!$D$4:$D$200,B50)-1)&amp;" more",""),"")</f>
        <v/>
      </c>
      <c r="C51" s="107" t="str">
        <f aca="false">IFERROR(INDEX(Schedule!$B$4:$B$200,MATCH(C50,Schedule!$D$4:$D$200,0))&amp;IF(COUNTIF(Schedule!$D$4:$D$200,C50)&gt;1," +"&amp;(COUNTIF(Schedule!$D$4:$D$200,C50)-1)&amp;" more",""),"")</f>
        <v/>
      </c>
      <c r="D51" s="107" t="str">
        <f aca="false">IFERROR(INDEX(Schedule!$B$4:$B$200,MATCH(D50,Schedule!$D$4:$D$200,0))&amp;IF(COUNTIF(Schedule!$D$4:$D$200,D50)&gt;1," +"&amp;(COUNTIF(Schedule!$D$4:$D$200,D50)-1)&amp;" more",""),"")</f>
        <v/>
      </c>
      <c r="E51" s="107" t="str">
        <f aca="false">IFERROR(INDEX(Schedule!$B$4:$B$200,MATCH(E50,Schedule!$D$4:$D$200,0))&amp;IF(COUNTIF(Schedule!$D$4:$D$200,E50)&gt;1," +"&amp;(COUNTIF(Schedule!$D$4:$D$200,E50)-1)&amp;" more",""),"")</f>
        <v/>
      </c>
      <c r="F51" s="107" t="str">
        <f aca="false">IFERROR(INDEX(Schedule!$B$4:$B$200,MATCH(F50,Schedule!$D$4:$D$200,0))&amp;IF(COUNTIF(Schedule!$D$4:$D$200,F50)&gt;1," +"&amp;(COUNTIF(Schedule!$D$4:$D$200,F50)-1)&amp;" more",""),"")</f>
        <v/>
      </c>
      <c r="G51" s="108" t="str">
        <f aca="false">IFERROR(INDEX(Schedule!$B$4:$B$200,MATCH(G50,Schedule!$D$4:$D$200,0))&amp;IF(COUNTIF(Schedule!$D$4:$D$200,G50)&gt;1," +"&amp;(COUNTIF(Schedule!$D$4:$D$200,G50)-1)&amp;" more",""),"")</f>
        <v/>
      </c>
      <c r="H51" s="108" t="str">
        <f aca="false">IFERROR(INDEX(Schedule!$B$4:$B$200,MATCH(H50,Schedule!$D$4:$D$200,0))&amp;IF(COUNTIF(Schedule!$D$4:$D$200,H50)&gt;1," +"&amp;(COUNTIF(Schedule!$D$4:$D$200,H50)-1)&amp;" more",""),"")</f>
        <v/>
      </c>
    </row>
    <row r="52" customFormat="false" ht="15" hidden="false" customHeight="true" outlineLevel="0" collapsed="false">
      <c r="A52" s="104" t="n">
        <f aca="false">(Settings!$C$36-(WEEKDAY(Settings!$C$36,2)-1))+168</f>
        <v>46370</v>
      </c>
      <c r="B52" s="105" t="n">
        <f aca="false">$A52+0</f>
        <v>46370</v>
      </c>
      <c r="C52" s="105" t="n">
        <f aca="false">$A52+1</f>
        <v>46371</v>
      </c>
      <c r="D52" s="105" t="n">
        <f aca="false">$A52+2</f>
        <v>46372</v>
      </c>
      <c r="E52" s="105" t="n">
        <f aca="false">$A52+3</f>
        <v>46373</v>
      </c>
      <c r="F52" s="105" t="n">
        <f aca="false">$A52+4</f>
        <v>46374</v>
      </c>
      <c r="G52" s="106" t="n">
        <f aca="false">$A52+5</f>
        <v>46375</v>
      </c>
      <c r="H52" s="106" t="n">
        <f aca="false">$A52+6</f>
        <v>46376</v>
      </c>
    </row>
    <row r="53" customFormat="false" ht="25.5" hidden="false" customHeight="true" outlineLevel="0" collapsed="false">
      <c r="A53" s="104"/>
      <c r="B53" s="107" t="str">
        <f aca="false">IFERROR(INDEX(Schedule!$B$4:$B$200,MATCH(B52,Schedule!$D$4:$D$200,0))&amp;IF(COUNTIF(Schedule!$D$4:$D$200,B52)&gt;1," +"&amp;(COUNTIF(Schedule!$D$4:$D$200,B52)-1)&amp;" more",""),"")</f>
        <v/>
      </c>
      <c r="C53" s="107" t="str">
        <f aca="false">IFERROR(INDEX(Schedule!$B$4:$B$200,MATCH(C52,Schedule!$D$4:$D$200,0))&amp;IF(COUNTIF(Schedule!$D$4:$D$200,C52)&gt;1," +"&amp;(COUNTIF(Schedule!$D$4:$D$200,C52)-1)&amp;" more",""),"")</f>
        <v/>
      </c>
      <c r="D53" s="107" t="str">
        <f aca="false">IFERROR(INDEX(Schedule!$B$4:$B$200,MATCH(D52,Schedule!$D$4:$D$200,0))&amp;IF(COUNTIF(Schedule!$D$4:$D$200,D52)&gt;1," +"&amp;(COUNTIF(Schedule!$D$4:$D$200,D52)-1)&amp;" more",""),"")</f>
        <v/>
      </c>
      <c r="E53" s="107" t="str">
        <f aca="false">IFERROR(INDEX(Schedule!$B$4:$B$200,MATCH(E52,Schedule!$D$4:$D$200,0))&amp;IF(COUNTIF(Schedule!$D$4:$D$200,E52)&gt;1," +"&amp;(COUNTIF(Schedule!$D$4:$D$200,E52)-1)&amp;" more",""),"")</f>
        <v/>
      </c>
      <c r="F53" s="107" t="str">
        <f aca="false">IFERROR(INDEX(Schedule!$B$4:$B$200,MATCH(F52,Schedule!$D$4:$D$200,0))&amp;IF(COUNTIF(Schedule!$D$4:$D$200,F52)&gt;1," +"&amp;(COUNTIF(Schedule!$D$4:$D$200,F52)-1)&amp;" more",""),"")</f>
        <v/>
      </c>
      <c r="G53" s="108" t="str">
        <f aca="false">IFERROR(INDEX(Schedule!$B$4:$B$200,MATCH(G52,Schedule!$D$4:$D$200,0))&amp;IF(COUNTIF(Schedule!$D$4:$D$200,G52)&gt;1," +"&amp;(COUNTIF(Schedule!$D$4:$D$200,G52)-1)&amp;" more",""),"")</f>
        <v/>
      </c>
      <c r="H53" s="108" t="str">
        <f aca="false">IFERROR(INDEX(Schedule!$B$4:$B$200,MATCH(H52,Schedule!$D$4:$D$200,0))&amp;IF(COUNTIF(Schedule!$D$4:$D$200,H52)&gt;1," +"&amp;(COUNTIF(Schedule!$D$4:$D$200,H52)-1)&amp;" more",""),"")</f>
        <v/>
      </c>
    </row>
    <row r="54" customFormat="false" ht="15" hidden="false" customHeight="true" outlineLevel="0" collapsed="false">
      <c r="A54" s="104" t="n">
        <f aca="false">(Settings!$C$36-(WEEKDAY(Settings!$C$36,2)-1))+175</f>
        <v>46377</v>
      </c>
      <c r="B54" s="105" t="n">
        <f aca="false">$A54+0</f>
        <v>46377</v>
      </c>
      <c r="C54" s="105" t="n">
        <f aca="false">$A54+1</f>
        <v>46378</v>
      </c>
      <c r="D54" s="105" t="n">
        <f aca="false">$A54+2</f>
        <v>46379</v>
      </c>
      <c r="E54" s="105" t="n">
        <f aca="false">$A54+3</f>
        <v>46380</v>
      </c>
      <c r="F54" s="105" t="n">
        <f aca="false">$A54+4</f>
        <v>46381</v>
      </c>
      <c r="G54" s="106" t="n">
        <f aca="false">$A54+5</f>
        <v>46382</v>
      </c>
      <c r="H54" s="106" t="n">
        <f aca="false">$A54+6</f>
        <v>46383</v>
      </c>
    </row>
    <row r="55" customFormat="false" ht="25.5" hidden="false" customHeight="true" outlineLevel="0" collapsed="false">
      <c r="A55" s="104"/>
      <c r="B55" s="107" t="str">
        <f aca="false">IFERROR(INDEX(Schedule!$B$4:$B$200,MATCH(B54,Schedule!$D$4:$D$200,0))&amp;IF(COUNTIF(Schedule!$D$4:$D$200,B54)&gt;1," +"&amp;(COUNTIF(Schedule!$D$4:$D$200,B54)-1)&amp;" more",""),"")</f>
        <v/>
      </c>
      <c r="C55" s="107" t="str">
        <f aca="false">IFERROR(INDEX(Schedule!$B$4:$B$200,MATCH(C54,Schedule!$D$4:$D$200,0))&amp;IF(COUNTIF(Schedule!$D$4:$D$200,C54)&gt;1," +"&amp;(COUNTIF(Schedule!$D$4:$D$200,C54)-1)&amp;" more",""),"")</f>
        <v/>
      </c>
      <c r="D55" s="107" t="str">
        <f aca="false">IFERROR(INDEX(Schedule!$B$4:$B$200,MATCH(D54,Schedule!$D$4:$D$200,0))&amp;IF(COUNTIF(Schedule!$D$4:$D$200,D54)&gt;1," +"&amp;(COUNTIF(Schedule!$D$4:$D$200,D54)-1)&amp;" more",""),"")</f>
        <v/>
      </c>
      <c r="E55" s="107" t="str">
        <f aca="false">IFERROR(INDEX(Schedule!$B$4:$B$200,MATCH(E54,Schedule!$D$4:$D$200,0))&amp;IF(COUNTIF(Schedule!$D$4:$D$200,E54)&gt;1," +"&amp;(COUNTIF(Schedule!$D$4:$D$200,E54)-1)&amp;" more",""),"")</f>
        <v/>
      </c>
      <c r="F55" s="107" t="str">
        <f aca="false">IFERROR(INDEX(Schedule!$B$4:$B$200,MATCH(F54,Schedule!$D$4:$D$200,0))&amp;IF(COUNTIF(Schedule!$D$4:$D$200,F54)&gt;1," +"&amp;(COUNTIF(Schedule!$D$4:$D$200,F54)-1)&amp;" more",""),"")</f>
        <v/>
      </c>
      <c r="G55" s="108" t="str">
        <f aca="false">IFERROR(INDEX(Schedule!$B$4:$B$200,MATCH(G54,Schedule!$D$4:$D$200,0))&amp;IF(COUNTIF(Schedule!$D$4:$D$200,G54)&gt;1," +"&amp;(COUNTIF(Schedule!$D$4:$D$200,G54)-1)&amp;" more",""),"")</f>
        <v/>
      </c>
      <c r="H55" s="108" t="str">
        <f aca="false">IFERROR(INDEX(Schedule!$B$4:$B$200,MATCH(H54,Schedule!$D$4:$D$200,0))&amp;IF(COUNTIF(Schedule!$D$4:$D$200,H54)&gt;1," +"&amp;(COUNTIF(Schedule!$D$4:$D$200,H54)-1)&amp;" more",""),"")</f>
        <v/>
      </c>
    </row>
    <row r="56" customFormat="false" ht="15" hidden="false" customHeight="false" outlineLevel="0" collapsed="false">
      <c r="A56" s="109" t="n">
        <f aca="false">(Settings!$C$36-(WEEKDAY(Settings!$C$36,2)-1))+182</f>
        <v>46384</v>
      </c>
      <c r="B56" s="105" t="n">
        <f aca="false">$A56+0</f>
        <v>46384</v>
      </c>
      <c r="C56" s="105" t="n">
        <f aca="false">$A56+1</f>
        <v>46385</v>
      </c>
      <c r="D56" s="105" t="n">
        <f aca="false">$A56+2</f>
        <v>46386</v>
      </c>
      <c r="E56" s="105" t="n">
        <f aca="false">$A56+3</f>
        <v>46387</v>
      </c>
      <c r="F56" s="105" t="n">
        <f aca="false">$A56+4</f>
        <v>46388</v>
      </c>
      <c r="G56" s="106" t="n">
        <f aca="false">$A56+5</f>
        <v>46389</v>
      </c>
      <c r="H56" s="106" t="n">
        <f aca="false">$A56+6</f>
        <v>46390</v>
      </c>
    </row>
    <row r="57" customFormat="false" ht="15" hidden="false" customHeight="false" outlineLevel="0" collapsed="false">
      <c r="B57" s="107" t="str">
        <f aca="false">IFERROR(INDEX(Schedule!$B$4:$B$200,MATCH(B56,Schedule!$D$4:$D$200,0))&amp;IF(COUNTIF(Schedule!$D$4:$D$200,B56)&gt;1," +"&amp;(COUNTIF(Schedule!$D$4:$D$200,B56)-1)&amp;" more",""),"")</f>
        <v/>
      </c>
      <c r="C57" s="107" t="str">
        <f aca="false">IFERROR(INDEX(Schedule!$B$4:$B$200,MATCH(C56,Schedule!$D$4:$D$200,0))&amp;IF(COUNTIF(Schedule!$D$4:$D$200,C56)&gt;1," +"&amp;(COUNTIF(Schedule!$D$4:$D$200,C56)-1)&amp;" more",""),"")</f>
        <v/>
      </c>
      <c r="D57" s="107" t="str">
        <f aca="false">IFERROR(INDEX(Schedule!$B$4:$B$200,MATCH(D56,Schedule!$D$4:$D$200,0))&amp;IF(COUNTIF(Schedule!$D$4:$D$200,D56)&gt;1," +"&amp;(COUNTIF(Schedule!$D$4:$D$200,D56)-1)&amp;" more",""),"")</f>
        <v/>
      </c>
      <c r="E57" s="107" t="str">
        <f aca="false">IFERROR(INDEX(Schedule!$B$4:$B$200,MATCH(E56,Schedule!$D$4:$D$200,0))&amp;IF(COUNTIF(Schedule!$D$4:$D$200,E56)&gt;1," +"&amp;(COUNTIF(Schedule!$D$4:$D$200,E56)-1)&amp;" more",""),"")</f>
        <v/>
      </c>
      <c r="F57" s="107" t="str">
        <f aca="false">IFERROR(INDEX(Schedule!$B$4:$B$200,MATCH(F56,Schedule!$D$4:$D$200,0))&amp;IF(COUNTIF(Schedule!$D$4:$D$200,F56)&gt;1," +"&amp;(COUNTIF(Schedule!$D$4:$D$200,F56)-1)&amp;" more",""),"")</f>
        <v/>
      </c>
      <c r="G57" s="108" t="str">
        <f aca="false">IFERROR(INDEX(Schedule!$B$4:$B$200,MATCH(G56,Schedule!$D$4:$D$200,0))&amp;IF(COUNTIF(Schedule!$D$4:$D$200,G56)&gt;1," +"&amp;(COUNTIF(Schedule!$D$4:$D$200,G56)-1)&amp;" more",""),"")</f>
        <v/>
      </c>
      <c r="H57" s="108" t="str">
        <f aca="false">IFERROR(INDEX(Schedule!$B$4:$B$200,MATCH(H56,Schedule!$D$4:$D$200,0))&amp;IF(COUNTIF(Schedule!$D$4:$D$200,H56)&gt;1," +"&amp;(COUNTIF(Schedule!$D$4:$D$200,H56)-1)&amp;" more",""),"")</f>
        <v/>
      </c>
    </row>
    <row r="58" customFormat="false" ht="15" hidden="false" customHeight="false" outlineLevel="0" collapsed="false">
      <c r="A58" s="109" t="n">
        <f aca="false">(Settings!$C$36-(WEEKDAY(Settings!$C$36,2)-1))+189</f>
        <v>46391</v>
      </c>
      <c r="B58" s="105" t="n">
        <f aca="false">$A58+0</f>
        <v>46391</v>
      </c>
      <c r="C58" s="105" t="n">
        <f aca="false">$A58+1</f>
        <v>46392</v>
      </c>
      <c r="D58" s="105" t="n">
        <f aca="false">$A58+2</f>
        <v>46393</v>
      </c>
      <c r="E58" s="105" t="n">
        <f aca="false">$A58+3</f>
        <v>46394</v>
      </c>
      <c r="F58" s="105" t="n">
        <f aca="false">$A58+4</f>
        <v>46395</v>
      </c>
      <c r="G58" s="106" t="n">
        <f aca="false">$A58+5</f>
        <v>46396</v>
      </c>
      <c r="H58" s="106" t="n">
        <f aca="false">$A58+6</f>
        <v>46397</v>
      </c>
    </row>
    <row r="59" customFormat="false" ht="15" hidden="false" customHeight="false" outlineLevel="0" collapsed="false">
      <c r="B59" s="107" t="str">
        <f aca="false">IFERROR(INDEX(Schedule!$B$4:$B$200,MATCH(B58,Schedule!$D$4:$D$200,0))&amp;IF(COUNTIF(Schedule!$D$4:$D$200,B58)&gt;1," +"&amp;(COUNTIF(Schedule!$D$4:$D$200,B58)-1)&amp;" more",""),"")</f>
        <v/>
      </c>
      <c r="C59" s="107" t="str">
        <f aca="false">IFERROR(INDEX(Schedule!$B$4:$B$200,MATCH(C58,Schedule!$D$4:$D$200,0))&amp;IF(COUNTIF(Schedule!$D$4:$D$200,C58)&gt;1," +"&amp;(COUNTIF(Schedule!$D$4:$D$200,C58)-1)&amp;" more",""),"")</f>
        <v/>
      </c>
      <c r="D59" s="107" t="str">
        <f aca="false">IFERROR(INDEX(Schedule!$B$4:$B$200,MATCH(D58,Schedule!$D$4:$D$200,0))&amp;IF(COUNTIF(Schedule!$D$4:$D$200,D58)&gt;1," +"&amp;(COUNTIF(Schedule!$D$4:$D$200,D58)-1)&amp;" more",""),"")</f>
        <v/>
      </c>
      <c r="E59" s="107" t="str">
        <f aca="false">IFERROR(INDEX(Schedule!$B$4:$B$200,MATCH(E58,Schedule!$D$4:$D$200,0))&amp;IF(COUNTIF(Schedule!$D$4:$D$200,E58)&gt;1," +"&amp;(COUNTIF(Schedule!$D$4:$D$200,E58)-1)&amp;" more",""),"")</f>
        <v/>
      </c>
      <c r="F59" s="107" t="str">
        <f aca="false">IFERROR(INDEX(Schedule!$B$4:$B$200,MATCH(F58,Schedule!$D$4:$D$200,0))&amp;IF(COUNTIF(Schedule!$D$4:$D$200,F58)&gt;1," +"&amp;(COUNTIF(Schedule!$D$4:$D$200,F58)-1)&amp;" more",""),"")</f>
        <v/>
      </c>
      <c r="G59" s="108" t="str">
        <f aca="false">IFERROR(INDEX(Schedule!$B$4:$B$200,MATCH(G58,Schedule!$D$4:$D$200,0))&amp;IF(COUNTIF(Schedule!$D$4:$D$200,G58)&gt;1," +"&amp;(COUNTIF(Schedule!$D$4:$D$200,G58)-1)&amp;" more",""),"")</f>
        <v/>
      </c>
      <c r="H59" s="108" t="str">
        <f aca="false">IFERROR(INDEX(Schedule!$B$4:$B$200,MATCH(H58,Schedule!$D$4:$D$200,0))&amp;IF(COUNTIF(Schedule!$D$4:$D$200,H58)&gt;1," +"&amp;(COUNTIF(Schedule!$D$4:$D$200,H58)-1)&amp;" more",""),"")</f>
        <v/>
      </c>
    </row>
    <row r="60" customFormat="false" ht="15" hidden="false" customHeight="false" outlineLevel="0" collapsed="false">
      <c r="A60" s="109" t="n">
        <f aca="false">(Settings!$C$36-(WEEKDAY(Settings!$C$36,2)-1))+196</f>
        <v>46398</v>
      </c>
      <c r="B60" s="105" t="n">
        <f aca="false">$A60+0</f>
        <v>46398</v>
      </c>
      <c r="C60" s="105" t="n">
        <f aca="false">$A60+1</f>
        <v>46399</v>
      </c>
      <c r="D60" s="105" t="n">
        <f aca="false">$A60+2</f>
        <v>46400</v>
      </c>
      <c r="E60" s="105" t="n">
        <f aca="false">$A60+3</f>
        <v>46401</v>
      </c>
      <c r="F60" s="105" t="n">
        <f aca="false">$A60+4</f>
        <v>46402</v>
      </c>
      <c r="G60" s="106" t="n">
        <f aca="false">$A60+5</f>
        <v>46403</v>
      </c>
      <c r="H60" s="106" t="n">
        <f aca="false">$A60+6</f>
        <v>46404</v>
      </c>
    </row>
    <row r="61" customFormat="false" ht="15" hidden="false" customHeight="false" outlineLevel="0" collapsed="false">
      <c r="B61" s="107" t="str">
        <f aca="false">IFERROR(INDEX(Schedule!$B$4:$B$200,MATCH(B60,Schedule!$D$4:$D$200,0))&amp;IF(COUNTIF(Schedule!$D$4:$D$200,B60)&gt;1," +"&amp;(COUNTIF(Schedule!$D$4:$D$200,B60)-1)&amp;" more",""),"")</f>
        <v/>
      </c>
      <c r="C61" s="107" t="str">
        <f aca="false">IFERROR(INDEX(Schedule!$B$4:$B$200,MATCH(C60,Schedule!$D$4:$D$200,0))&amp;IF(COUNTIF(Schedule!$D$4:$D$200,C60)&gt;1," +"&amp;(COUNTIF(Schedule!$D$4:$D$200,C60)-1)&amp;" more",""),"")</f>
        <v/>
      </c>
      <c r="D61" s="107" t="str">
        <f aca="false">IFERROR(INDEX(Schedule!$B$4:$B$200,MATCH(D60,Schedule!$D$4:$D$200,0))&amp;IF(COUNTIF(Schedule!$D$4:$D$200,D60)&gt;1," +"&amp;(COUNTIF(Schedule!$D$4:$D$200,D60)-1)&amp;" more",""),"")</f>
        <v/>
      </c>
      <c r="E61" s="107" t="str">
        <f aca="false">IFERROR(INDEX(Schedule!$B$4:$B$200,MATCH(E60,Schedule!$D$4:$D$200,0))&amp;IF(COUNTIF(Schedule!$D$4:$D$200,E60)&gt;1," +"&amp;(COUNTIF(Schedule!$D$4:$D$200,E60)-1)&amp;" more",""),"")</f>
        <v/>
      </c>
      <c r="F61" s="107" t="str">
        <f aca="false">IFERROR(INDEX(Schedule!$B$4:$B$200,MATCH(F60,Schedule!$D$4:$D$200,0))&amp;IF(COUNTIF(Schedule!$D$4:$D$200,F60)&gt;1," +"&amp;(COUNTIF(Schedule!$D$4:$D$200,F60)-1)&amp;" more",""),"")</f>
        <v/>
      </c>
      <c r="G61" s="108" t="str">
        <f aca="false">IFERROR(INDEX(Schedule!$B$4:$B$200,MATCH(G60,Schedule!$D$4:$D$200,0))&amp;IF(COUNTIF(Schedule!$D$4:$D$200,G60)&gt;1," +"&amp;(COUNTIF(Schedule!$D$4:$D$200,G60)-1)&amp;" more",""),"")</f>
        <v/>
      </c>
      <c r="H61" s="108" t="str">
        <f aca="false">IFERROR(INDEX(Schedule!$B$4:$B$200,MATCH(H60,Schedule!$D$4:$D$200,0))&amp;IF(COUNTIF(Schedule!$D$4:$D$200,H60)&gt;1," +"&amp;(COUNTIF(Schedule!$D$4:$D$200,H60)-1)&amp;" more",""),"")</f>
        <v/>
      </c>
    </row>
    <row r="62" customFormat="false" ht="15" hidden="false" customHeight="false" outlineLevel="0" collapsed="false">
      <c r="A62" s="109" t="n">
        <f aca="false">(Settings!$C$36-(WEEKDAY(Settings!$C$36,2)-1))+203</f>
        <v>46405</v>
      </c>
      <c r="B62" s="105" t="n">
        <f aca="false">$A62+0</f>
        <v>46405</v>
      </c>
      <c r="C62" s="105" t="n">
        <f aca="false">$A62+1</f>
        <v>46406</v>
      </c>
      <c r="D62" s="105" t="n">
        <f aca="false">$A62+2</f>
        <v>46407</v>
      </c>
      <c r="E62" s="105" t="n">
        <f aca="false">$A62+3</f>
        <v>46408</v>
      </c>
      <c r="F62" s="105" t="n">
        <f aca="false">$A62+4</f>
        <v>46409</v>
      </c>
      <c r="G62" s="106" t="n">
        <f aca="false">$A62+5</f>
        <v>46410</v>
      </c>
      <c r="H62" s="106" t="n">
        <f aca="false">$A62+6</f>
        <v>46411</v>
      </c>
    </row>
    <row r="63" customFormat="false" ht="15" hidden="false" customHeight="false" outlineLevel="0" collapsed="false">
      <c r="B63" s="107" t="str">
        <f aca="false">IFERROR(INDEX(Schedule!$B$4:$B$200,MATCH(B62,Schedule!$D$4:$D$200,0))&amp;IF(COUNTIF(Schedule!$D$4:$D$200,B62)&gt;1," +"&amp;(COUNTIF(Schedule!$D$4:$D$200,B62)-1)&amp;" more",""),"")</f>
        <v/>
      </c>
      <c r="C63" s="107" t="str">
        <f aca="false">IFERROR(INDEX(Schedule!$B$4:$B$200,MATCH(C62,Schedule!$D$4:$D$200,0))&amp;IF(COUNTIF(Schedule!$D$4:$D$200,C62)&gt;1," +"&amp;(COUNTIF(Schedule!$D$4:$D$200,C62)-1)&amp;" more",""),"")</f>
        <v/>
      </c>
      <c r="D63" s="107" t="str">
        <f aca="false">IFERROR(INDEX(Schedule!$B$4:$B$200,MATCH(D62,Schedule!$D$4:$D$200,0))&amp;IF(COUNTIF(Schedule!$D$4:$D$200,D62)&gt;1," +"&amp;(COUNTIF(Schedule!$D$4:$D$200,D62)-1)&amp;" more",""),"")</f>
        <v/>
      </c>
      <c r="E63" s="107" t="str">
        <f aca="false">IFERROR(INDEX(Schedule!$B$4:$B$200,MATCH(E62,Schedule!$D$4:$D$200,0))&amp;IF(COUNTIF(Schedule!$D$4:$D$200,E62)&gt;1," +"&amp;(COUNTIF(Schedule!$D$4:$D$200,E62)-1)&amp;" more",""),"")</f>
        <v/>
      </c>
      <c r="F63" s="107" t="str">
        <f aca="false">IFERROR(INDEX(Schedule!$B$4:$B$200,MATCH(F62,Schedule!$D$4:$D$200,0))&amp;IF(COUNTIF(Schedule!$D$4:$D$200,F62)&gt;1," +"&amp;(COUNTIF(Schedule!$D$4:$D$200,F62)-1)&amp;" more",""),"")</f>
        <v/>
      </c>
      <c r="G63" s="108" t="str">
        <f aca="false">IFERROR(INDEX(Schedule!$B$4:$B$200,MATCH(G62,Schedule!$D$4:$D$200,0))&amp;IF(COUNTIF(Schedule!$D$4:$D$200,G62)&gt;1," +"&amp;(COUNTIF(Schedule!$D$4:$D$200,G62)-1)&amp;" more",""),"")</f>
        <v/>
      </c>
      <c r="H63" s="108" t="str">
        <f aca="false">IFERROR(INDEX(Schedule!$B$4:$B$200,MATCH(H62,Schedule!$D$4:$D$200,0))&amp;IF(COUNTIF(Schedule!$D$4:$D$200,H62)&gt;1," +"&amp;(COUNTIF(Schedule!$D$4:$D$200,H62)-1)&amp;" more",""),"")</f>
        <v/>
      </c>
    </row>
    <row r="64" customFormat="false" ht="15" hidden="false" customHeight="false" outlineLevel="0" collapsed="false">
      <c r="A64" s="109" t="n">
        <f aca="false">(Settings!$C$36-(WEEKDAY(Settings!$C$36,2)-1))+210</f>
        <v>46412</v>
      </c>
      <c r="B64" s="105" t="n">
        <f aca="false">$A64+0</f>
        <v>46412</v>
      </c>
      <c r="C64" s="105" t="n">
        <f aca="false">$A64+1</f>
        <v>46413</v>
      </c>
      <c r="D64" s="105" t="n">
        <f aca="false">$A64+2</f>
        <v>46414</v>
      </c>
      <c r="E64" s="105" t="n">
        <f aca="false">$A64+3</f>
        <v>46415</v>
      </c>
      <c r="F64" s="105" t="n">
        <f aca="false">$A64+4</f>
        <v>46416</v>
      </c>
      <c r="G64" s="106" t="n">
        <f aca="false">$A64+5</f>
        <v>46417</v>
      </c>
      <c r="H64" s="106" t="n">
        <f aca="false">$A64+6</f>
        <v>46418</v>
      </c>
    </row>
    <row r="65" customFormat="false" ht="15" hidden="false" customHeight="false" outlineLevel="0" collapsed="false">
      <c r="B65" s="107" t="str">
        <f aca="false">IFERROR(INDEX(Schedule!$B$4:$B$200,MATCH(B64,Schedule!$D$4:$D$200,0))&amp;IF(COUNTIF(Schedule!$D$4:$D$200,B64)&gt;1," +"&amp;(COUNTIF(Schedule!$D$4:$D$200,B64)-1)&amp;" more",""),"")</f>
        <v/>
      </c>
      <c r="C65" s="107" t="str">
        <f aca="false">IFERROR(INDEX(Schedule!$B$4:$B$200,MATCH(C64,Schedule!$D$4:$D$200,0))&amp;IF(COUNTIF(Schedule!$D$4:$D$200,C64)&gt;1," +"&amp;(COUNTIF(Schedule!$D$4:$D$200,C64)-1)&amp;" more",""),"")</f>
        <v/>
      </c>
      <c r="D65" s="107" t="str">
        <f aca="false">IFERROR(INDEX(Schedule!$B$4:$B$200,MATCH(D64,Schedule!$D$4:$D$200,0))&amp;IF(COUNTIF(Schedule!$D$4:$D$200,D64)&gt;1," +"&amp;(COUNTIF(Schedule!$D$4:$D$200,D64)-1)&amp;" more",""),"")</f>
        <v/>
      </c>
      <c r="E65" s="107" t="str">
        <f aca="false">IFERROR(INDEX(Schedule!$B$4:$B$200,MATCH(E64,Schedule!$D$4:$D$200,0))&amp;IF(COUNTIF(Schedule!$D$4:$D$200,E64)&gt;1," +"&amp;(COUNTIF(Schedule!$D$4:$D$200,E64)-1)&amp;" more",""),"")</f>
        <v/>
      </c>
      <c r="F65" s="107" t="str">
        <f aca="false">IFERROR(INDEX(Schedule!$B$4:$B$200,MATCH(F64,Schedule!$D$4:$D$200,0))&amp;IF(COUNTIF(Schedule!$D$4:$D$200,F64)&gt;1," +"&amp;(COUNTIF(Schedule!$D$4:$D$200,F64)-1)&amp;" more",""),"")</f>
        <v/>
      </c>
      <c r="G65" s="108" t="str">
        <f aca="false">IFERROR(INDEX(Schedule!$B$4:$B$200,MATCH(G64,Schedule!$D$4:$D$200,0))&amp;IF(COUNTIF(Schedule!$D$4:$D$200,G64)&gt;1," +"&amp;(COUNTIF(Schedule!$D$4:$D$200,G64)-1)&amp;" more",""),"")</f>
        <v/>
      </c>
      <c r="H65" s="108" t="str">
        <f aca="false">IFERROR(INDEX(Schedule!$B$4:$B$200,MATCH(H64,Schedule!$D$4:$D$200,0))&amp;IF(COUNTIF(Schedule!$D$4:$D$200,H64)&gt;1," +"&amp;(COUNTIF(Schedule!$D$4:$D$200,H64)-1)&amp;" more",""),"")</f>
        <v/>
      </c>
    </row>
    <row r="66" customFormat="false" ht="15" hidden="false" customHeight="false" outlineLevel="0" collapsed="false">
      <c r="A66" s="109" t="n">
        <f aca="false">(Settings!$C$36-(WEEKDAY(Settings!$C$36,2)-1))+217</f>
        <v>46419</v>
      </c>
      <c r="B66" s="105" t="n">
        <f aca="false">$A66+0</f>
        <v>46419</v>
      </c>
      <c r="C66" s="105" t="n">
        <f aca="false">$A66+1</f>
        <v>46420</v>
      </c>
      <c r="D66" s="105" t="n">
        <f aca="false">$A66+2</f>
        <v>46421</v>
      </c>
      <c r="E66" s="105" t="n">
        <f aca="false">$A66+3</f>
        <v>46422</v>
      </c>
      <c r="F66" s="105" t="n">
        <f aca="false">$A66+4</f>
        <v>46423</v>
      </c>
      <c r="G66" s="106" t="n">
        <f aca="false">$A66+5</f>
        <v>46424</v>
      </c>
      <c r="H66" s="106" t="n">
        <f aca="false">$A66+6</f>
        <v>46425</v>
      </c>
    </row>
    <row r="67" customFormat="false" ht="15" hidden="false" customHeight="false" outlineLevel="0" collapsed="false">
      <c r="B67" s="107" t="str">
        <f aca="false">IFERROR(INDEX(Schedule!$B$4:$B$200,MATCH(B66,Schedule!$D$4:$D$200,0))&amp;IF(COUNTIF(Schedule!$D$4:$D$200,B66)&gt;1," +"&amp;(COUNTIF(Schedule!$D$4:$D$200,B66)-1)&amp;" more",""),"")</f>
        <v/>
      </c>
      <c r="C67" s="107" t="str">
        <f aca="false">IFERROR(INDEX(Schedule!$B$4:$B$200,MATCH(C66,Schedule!$D$4:$D$200,0))&amp;IF(COUNTIF(Schedule!$D$4:$D$200,C66)&gt;1," +"&amp;(COUNTIF(Schedule!$D$4:$D$200,C66)-1)&amp;" more",""),"")</f>
        <v/>
      </c>
      <c r="D67" s="107" t="str">
        <f aca="false">IFERROR(INDEX(Schedule!$B$4:$B$200,MATCH(D66,Schedule!$D$4:$D$200,0))&amp;IF(COUNTIF(Schedule!$D$4:$D$200,D66)&gt;1," +"&amp;(COUNTIF(Schedule!$D$4:$D$200,D66)-1)&amp;" more",""),"")</f>
        <v/>
      </c>
      <c r="E67" s="107" t="str">
        <f aca="false">IFERROR(INDEX(Schedule!$B$4:$B$200,MATCH(E66,Schedule!$D$4:$D$200,0))&amp;IF(COUNTIF(Schedule!$D$4:$D$200,E66)&gt;1," +"&amp;(COUNTIF(Schedule!$D$4:$D$200,E66)-1)&amp;" more",""),"")</f>
        <v/>
      </c>
      <c r="F67" s="107" t="str">
        <f aca="false">IFERROR(INDEX(Schedule!$B$4:$B$200,MATCH(F66,Schedule!$D$4:$D$200,0))&amp;IF(COUNTIF(Schedule!$D$4:$D$200,F66)&gt;1," +"&amp;(COUNTIF(Schedule!$D$4:$D$200,F66)-1)&amp;" more",""),"")</f>
        <v/>
      </c>
      <c r="G67" s="108" t="str">
        <f aca="false">IFERROR(INDEX(Schedule!$B$4:$B$200,MATCH(G66,Schedule!$D$4:$D$200,0))&amp;IF(COUNTIF(Schedule!$D$4:$D$200,G66)&gt;1," +"&amp;(COUNTIF(Schedule!$D$4:$D$200,G66)-1)&amp;" more",""),"")</f>
        <v/>
      </c>
      <c r="H67" s="108" t="str">
        <f aca="false">IFERROR(INDEX(Schedule!$B$4:$B$200,MATCH(H66,Schedule!$D$4:$D$200,0))&amp;IF(COUNTIF(Schedule!$D$4:$D$200,H66)&gt;1," +"&amp;(COUNTIF(Schedule!$D$4:$D$200,H66)-1)&amp;" more",""),"")</f>
        <v/>
      </c>
    </row>
    <row r="68" customFormat="false" ht="15" hidden="false" customHeight="false" outlineLevel="0" collapsed="false">
      <c r="A68" s="109" t="n">
        <f aca="false">(Settings!$C$36-(WEEKDAY(Settings!$C$36,2)-1))+224</f>
        <v>46426</v>
      </c>
      <c r="B68" s="105" t="n">
        <f aca="false">$A68+0</f>
        <v>46426</v>
      </c>
      <c r="C68" s="105" t="n">
        <f aca="false">$A68+1</f>
        <v>46427</v>
      </c>
      <c r="D68" s="105" t="n">
        <f aca="false">$A68+2</f>
        <v>46428</v>
      </c>
      <c r="E68" s="105" t="n">
        <f aca="false">$A68+3</f>
        <v>46429</v>
      </c>
      <c r="F68" s="105" t="n">
        <f aca="false">$A68+4</f>
        <v>46430</v>
      </c>
      <c r="G68" s="106" t="n">
        <f aca="false">$A68+5</f>
        <v>46431</v>
      </c>
      <c r="H68" s="106" t="n">
        <f aca="false">$A68+6</f>
        <v>46432</v>
      </c>
    </row>
    <row r="69" customFormat="false" ht="15" hidden="false" customHeight="false" outlineLevel="0" collapsed="false">
      <c r="B69" s="107" t="str">
        <f aca="false">IFERROR(INDEX(Schedule!$B$4:$B$200,MATCH(B68,Schedule!$D$4:$D$200,0))&amp;IF(COUNTIF(Schedule!$D$4:$D$200,B68)&gt;1," +"&amp;(COUNTIF(Schedule!$D$4:$D$200,B68)-1)&amp;" more",""),"")</f>
        <v/>
      </c>
      <c r="C69" s="107" t="str">
        <f aca="false">IFERROR(INDEX(Schedule!$B$4:$B$200,MATCH(C68,Schedule!$D$4:$D$200,0))&amp;IF(COUNTIF(Schedule!$D$4:$D$200,C68)&gt;1," +"&amp;(COUNTIF(Schedule!$D$4:$D$200,C68)-1)&amp;" more",""),"")</f>
        <v/>
      </c>
      <c r="D69" s="107" t="str">
        <f aca="false">IFERROR(INDEX(Schedule!$B$4:$B$200,MATCH(D68,Schedule!$D$4:$D$200,0))&amp;IF(COUNTIF(Schedule!$D$4:$D$200,D68)&gt;1," +"&amp;(COUNTIF(Schedule!$D$4:$D$200,D68)-1)&amp;" more",""),"")</f>
        <v/>
      </c>
      <c r="E69" s="107" t="str">
        <f aca="false">IFERROR(INDEX(Schedule!$B$4:$B$200,MATCH(E68,Schedule!$D$4:$D$200,0))&amp;IF(COUNTIF(Schedule!$D$4:$D$200,E68)&gt;1," +"&amp;(COUNTIF(Schedule!$D$4:$D$200,E68)-1)&amp;" more",""),"")</f>
        <v/>
      </c>
      <c r="F69" s="107" t="str">
        <f aca="false">IFERROR(INDEX(Schedule!$B$4:$B$200,MATCH(F68,Schedule!$D$4:$D$200,0))&amp;IF(COUNTIF(Schedule!$D$4:$D$200,F68)&gt;1," +"&amp;(COUNTIF(Schedule!$D$4:$D$200,F68)-1)&amp;" more",""),"")</f>
        <v/>
      </c>
      <c r="G69" s="108" t="str">
        <f aca="false">IFERROR(INDEX(Schedule!$B$4:$B$200,MATCH(G68,Schedule!$D$4:$D$200,0))&amp;IF(COUNTIF(Schedule!$D$4:$D$200,G68)&gt;1," +"&amp;(COUNTIF(Schedule!$D$4:$D$200,G68)-1)&amp;" more",""),"")</f>
        <v/>
      </c>
      <c r="H69" s="108" t="str">
        <f aca="false">IFERROR(INDEX(Schedule!$B$4:$B$200,MATCH(H68,Schedule!$D$4:$D$200,0))&amp;IF(COUNTIF(Schedule!$D$4:$D$200,H68)&gt;1," +"&amp;(COUNTIF(Schedule!$D$4:$D$200,H68)-1)&amp;" more",""),"")</f>
        <v/>
      </c>
    </row>
    <row r="70" customFormat="false" ht="15" hidden="false" customHeight="false" outlineLevel="0" collapsed="false">
      <c r="A70" s="109" t="n">
        <f aca="false">(Settings!$C$36-(WEEKDAY(Settings!$C$36,2)-1))+231</f>
        <v>46433</v>
      </c>
      <c r="B70" s="105" t="n">
        <f aca="false">$A70+0</f>
        <v>46433</v>
      </c>
      <c r="C70" s="105" t="n">
        <f aca="false">$A70+1</f>
        <v>46434</v>
      </c>
      <c r="D70" s="105" t="n">
        <f aca="false">$A70+2</f>
        <v>46435</v>
      </c>
      <c r="E70" s="105" t="n">
        <f aca="false">$A70+3</f>
        <v>46436</v>
      </c>
      <c r="F70" s="105" t="n">
        <f aca="false">$A70+4</f>
        <v>46437</v>
      </c>
      <c r="G70" s="106" t="n">
        <f aca="false">$A70+5</f>
        <v>46438</v>
      </c>
      <c r="H70" s="106" t="n">
        <f aca="false">$A70+6</f>
        <v>46439</v>
      </c>
    </row>
    <row r="71" customFormat="false" ht="15" hidden="false" customHeight="false" outlineLevel="0" collapsed="false">
      <c r="B71" s="107" t="str">
        <f aca="false">IFERROR(INDEX(Schedule!$B$4:$B$200,MATCH(B70,Schedule!$D$4:$D$200,0))&amp;IF(COUNTIF(Schedule!$D$4:$D$200,B70)&gt;1," +"&amp;(COUNTIF(Schedule!$D$4:$D$200,B70)-1)&amp;" more",""),"")</f>
        <v/>
      </c>
      <c r="C71" s="107" t="str">
        <f aca="false">IFERROR(INDEX(Schedule!$B$4:$B$200,MATCH(C70,Schedule!$D$4:$D$200,0))&amp;IF(COUNTIF(Schedule!$D$4:$D$200,C70)&gt;1," +"&amp;(COUNTIF(Schedule!$D$4:$D$200,C70)-1)&amp;" more",""),"")</f>
        <v/>
      </c>
      <c r="D71" s="107" t="str">
        <f aca="false">IFERROR(INDEX(Schedule!$B$4:$B$200,MATCH(D70,Schedule!$D$4:$D$200,0))&amp;IF(COUNTIF(Schedule!$D$4:$D$200,D70)&gt;1," +"&amp;(COUNTIF(Schedule!$D$4:$D$200,D70)-1)&amp;" more",""),"")</f>
        <v/>
      </c>
      <c r="E71" s="107" t="str">
        <f aca="false">IFERROR(INDEX(Schedule!$B$4:$B$200,MATCH(E70,Schedule!$D$4:$D$200,0))&amp;IF(COUNTIF(Schedule!$D$4:$D$200,E70)&gt;1," +"&amp;(COUNTIF(Schedule!$D$4:$D$200,E70)-1)&amp;" more",""),"")</f>
        <v/>
      </c>
      <c r="F71" s="107" t="str">
        <f aca="false">IFERROR(INDEX(Schedule!$B$4:$B$200,MATCH(F70,Schedule!$D$4:$D$200,0))&amp;IF(COUNTIF(Schedule!$D$4:$D$200,F70)&gt;1," +"&amp;(COUNTIF(Schedule!$D$4:$D$200,F70)-1)&amp;" more",""),"")</f>
        <v/>
      </c>
      <c r="G71" s="108" t="str">
        <f aca="false">IFERROR(INDEX(Schedule!$B$4:$B$200,MATCH(G70,Schedule!$D$4:$D$200,0))&amp;IF(COUNTIF(Schedule!$D$4:$D$200,G70)&gt;1," +"&amp;(COUNTIF(Schedule!$D$4:$D$200,G70)-1)&amp;" more",""),"")</f>
        <v/>
      </c>
      <c r="H71" s="108" t="str">
        <f aca="false">IFERROR(INDEX(Schedule!$B$4:$B$200,MATCH(H70,Schedule!$D$4:$D$200,0))&amp;IF(COUNTIF(Schedule!$D$4:$D$200,H70)&gt;1," +"&amp;(COUNTIF(Schedule!$D$4:$D$200,H70)-1)&amp;" more",""),"")</f>
        <v/>
      </c>
    </row>
    <row r="72" customFormat="false" ht="15" hidden="false" customHeight="false" outlineLevel="0" collapsed="false">
      <c r="A72" s="109" t="n">
        <f aca="false">(Settings!$C$36-(WEEKDAY(Settings!$C$36,2)-1))+238</f>
        <v>46440</v>
      </c>
      <c r="B72" s="105" t="n">
        <f aca="false">$A72+0</f>
        <v>46440</v>
      </c>
      <c r="C72" s="105" t="n">
        <f aca="false">$A72+1</f>
        <v>46441</v>
      </c>
      <c r="D72" s="105" t="n">
        <f aca="false">$A72+2</f>
        <v>46442</v>
      </c>
      <c r="E72" s="105" t="n">
        <f aca="false">$A72+3</f>
        <v>46443</v>
      </c>
      <c r="F72" s="105" t="n">
        <f aca="false">$A72+4</f>
        <v>46444</v>
      </c>
      <c r="G72" s="106" t="n">
        <f aca="false">$A72+5</f>
        <v>46445</v>
      </c>
      <c r="H72" s="106" t="n">
        <f aca="false">$A72+6</f>
        <v>46446</v>
      </c>
    </row>
    <row r="73" customFormat="false" ht="15" hidden="false" customHeight="false" outlineLevel="0" collapsed="false">
      <c r="B73" s="107" t="str">
        <f aca="false">IFERROR(INDEX(Schedule!$B$4:$B$200,MATCH(B72,Schedule!$D$4:$D$200,0))&amp;IF(COUNTIF(Schedule!$D$4:$D$200,B72)&gt;1," +"&amp;(COUNTIF(Schedule!$D$4:$D$200,B72)-1)&amp;" more",""),"")</f>
        <v/>
      </c>
      <c r="C73" s="107" t="str">
        <f aca="false">IFERROR(INDEX(Schedule!$B$4:$B$200,MATCH(C72,Schedule!$D$4:$D$200,0))&amp;IF(COUNTIF(Schedule!$D$4:$D$200,C72)&gt;1," +"&amp;(COUNTIF(Schedule!$D$4:$D$200,C72)-1)&amp;" more",""),"")</f>
        <v/>
      </c>
      <c r="D73" s="107" t="str">
        <f aca="false">IFERROR(INDEX(Schedule!$B$4:$B$200,MATCH(D72,Schedule!$D$4:$D$200,0))&amp;IF(COUNTIF(Schedule!$D$4:$D$200,D72)&gt;1," +"&amp;(COUNTIF(Schedule!$D$4:$D$200,D72)-1)&amp;" more",""),"")</f>
        <v/>
      </c>
      <c r="E73" s="107" t="str">
        <f aca="false">IFERROR(INDEX(Schedule!$B$4:$B$200,MATCH(E72,Schedule!$D$4:$D$200,0))&amp;IF(COUNTIF(Schedule!$D$4:$D$200,E72)&gt;1," +"&amp;(COUNTIF(Schedule!$D$4:$D$200,E72)-1)&amp;" more",""),"")</f>
        <v/>
      </c>
      <c r="F73" s="107" t="str">
        <f aca="false">IFERROR(INDEX(Schedule!$B$4:$B$200,MATCH(F72,Schedule!$D$4:$D$200,0))&amp;IF(COUNTIF(Schedule!$D$4:$D$200,F72)&gt;1," +"&amp;(COUNTIF(Schedule!$D$4:$D$200,F72)-1)&amp;" more",""),"")</f>
        <v/>
      </c>
      <c r="G73" s="108" t="str">
        <f aca="false">IFERROR(INDEX(Schedule!$B$4:$B$200,MATCH(G72,Schedule!$D$4:$D$200,0))&amp;IF(COUNTIF(Schedule!$D$4:$D$200,G72)&gt;1," +"&amp;(COUNTIF(Schedule!$D$4:$D$200,G72)-1)&amp;" more",""),"")</f>
        <v/>
      </c>
      <c r="H73" s="108" t="str">
        <f aca="false">IFERROR(INDEX(Schedule!$B$4:$B$200,MATCH(H72,Schedule!$D$4:$D$200,0))&amp;IF(COUNTIF(Schedule!$D$4:$D$200,H72)&gt;1," +"&amp;(COUNTIF(Schedule!$D$4:$D$200,H72)-1)&amp;" more",""),"")</f>
        <v/>
      </c>
    </row>
    <row r="74" customFormat="false" ht="15" hidden="false" customHeight="false" outlineLevel="0" collapsed="false">
      <c r="A74" s="109" t="n">
        <f aca="false">(Settings!$C$36-(WEEKDAY(Settings!$C$36,2)-1))+245</f>
        <v>46447</v>
      </c>
      <c r="B74" s="105" t="n">
        <f aca="false">$A74+0</f>
        <v>46447</v>
      </c>
      <c r="C74" s="105" t="n">
        <f aca="false">$A74+1</f>
        <v>46448</v>
      </c>
      <c r="D74" s="105" t="n">
        <f aca="false">$A74+2</f>
        <v>46449</v>
      </c>
      <c r="E74" s="105" t="n">
        <f aca="false">$A74+3</f>
        <v>46450</v>
      </c>
      <c r="F74" s="105" t="n">
        <f aca="false">$A74+4</f>
        <v>46451</v>
      </c>
      <c r="G74" s="106" t="n">
        <f aca="false">$A74+5</f>
        <v>46452</v>
      </c>
      <c r="H74" s="106" t="n">
        <f aca="false">$A74+6</f>
        <v>46453</v>
      </c>
    </row>
    <row r="75" customFormat="false" ht="15" hidden="false" customHeight="false" outlineLevel="0" collapsed="false">
      <c r="B75" s="107" t="str">
        <f aca="false">IFERROR(INDEX(Schedule!$B$4:$B$200,MATCH(B74,Schedule!$D$4:$D$200,0))&amp;IF(COUNTIF(Schedule!$D$4:$D$200,B74)&gt;1," +"&amp;(COUNTIF(Schedule!$D$4:$D$200,B74)-1)&amp;" more",""),"")</f>
        <v/>
      </c>
      <c r="C75" s="107" t="str">
        <f aca="false">IFERROR(INDEX(Schedule!$B$4:$B$200,MATCH(C74,Schedule!$D$4:$D$200,0))&amp;IF(COUNTIF(Schedule!$D$4:$D$200,C74)&gt;1," +"&amp;(COUNTIF(Schedule!$D$4:$D$200,C74)-1)&amp;" more",""),"")</f>
        <v/>
      </c>
      <c r="D75" s="107" t="str">
        <f aca="false">IFERROR(INDEX(Schedule!$B$4:$B$200,MATCH(D74,Schedule!$D$4:$D$200,0))&amp;IF(COUNTIF(Schedule!$D$4:$D$200,D74)&gt;1," +"&amp;(COUNTIF(Schedule!$D$4:$D$200,D74)-1)&amp;" more",""),"")</f>
        <v/>
      </c>
      <c r="E75" s="107" t="str">
        <f aca="false">IFERROR(INDEX(Schedule!$B$4:$B$200,MATCH(E74,Schedule!$D$4:$D$200,0))&amp;IF(COUNTIF(Schedule!$D$4:$D$200,E74)&gt;1," +"&amp;(COUNTIF(Schedule!$D$4:$D$200,E74)-1)&amp;" more",""),"")</f>
        <v/>
      </c>
      <c r="F75" s="107" t="str">
        <f aca="false">IFERROR(INDEX(Schedule!$B$4:$B$200,MATCH(F74,Schedule!$D$4:$D$200,0))&amp;IF(COUNTIF(Schedule!$D$4:$D$200,F74)&gt;1," +"&amp;(COUNTIF(Schedule!$D$4:$D$200,F74)-1)&amp;" more",""),"")</f>
        <v/>
      </c>
      <c r="G75" s="108" t="str">
        <f aca="false">IFERROR(INDEX(Schedule!$B$4:$B$200,MATCH(G74,Schedule!$D$4:$D$200,0))&amp;IF(COUNTIF(Schedule!$D$4:$D$200,G74)&gt;1," +"&amp;(COUNTIF(Schedule!$D$4:$D$200,G74)-1)&amp;" more",""),"")</f>
        <v/>
      </c>
      <c r="H75" s="108" t="str">
        <f aca="false">IFERROR(INDEX(Schedule!$B$4:$B$200,MATCH(H74,Schedule!$D$4:$D$200,0))&amp;IF(COUNTIF(Schedule!$D$4:$D$200,H74)&gt;1," +"&amp;(COUNTIF(Schedule!$D$4:$D$200,H74)-1)&amp;" more",""),"")</f>
        <v/>
      </c>
    </row>
    <row r="76" customFormat="false" ht="15" hidden="false" customHeight="false" outlineLevel="0" collapsed="false">
      <c r="A76" s="109" t="n">
        <f aca="false">(Settings!$C$36-(WEEKDAY(Settings!$C$36,2)-1))+252</f>
        <v>46454</v>
      </c>
      <c r="B76" s="105" t="n">
        <f aca="false">$A76+0</f>
        <v>46454</v>
      </c>
      <c r="C76" s="105" t="n">
        <f aca="false">$A76+1</f>
        <v>46455</v>
      </c>
      <c r="D76" s="105" t="n">
        <f aca="false">$A76+2</f>
        <v>46456</v>
      </c>
      <c r="E76" s="105" t="n">
        <f aca="false">$A76+3</f>
        <v>46457</v>
      </c>
      <c r="F76" s="105" t="n">
        <f aca="false">$A76+4</f>
        <v>46458</v>
      </c>
      <c r="G76" s="106" t="n">
        <f aca="false">$A76+5</f>
        <v>46459</v>
      </c>
      <c r="H76" s="106" t="n">
        <f aca="false">$A76+6</f>
        <v>46460</v>
      </c>
    </row>
    <row r="77" customFormat="false" ht="15" hidden="false" customHeight="false" outlineLevel="0" collapsed="false">
      <c r="B77" s="107" t="str">
        <f aca="false">IFERROR(INDEX(Schedule!$B$4:$B$200,MATCH(B76,Schedule!$D$4:$D$200,0))&amp;IF(COUNTIF(Schedule!$D$4:$D$200,B76)&gt;1," +"&amp;(COUNTIF(Schedule!$D$4:$D$200,B76)-1)&amp;" more",""),"")</f>
        <v/>
      </c>
      <c r="C77" s="107" t="str">
        <f aca="false">IFERROR(INDEX(Schedule!$B$4:$B$200,MATCH(C76,Schedule!$D$4:$D$200,0))&amp;IF(COUNTIF(Schedule!$D$4:$D$200,C76)&gt;1," +"&amp;(COUNTIF(Schedule!$D$4:$D$200,C76)-1)&amp;" more",""),"")</f>
        <v/>
      </c>
      <c r="D77" s="107" t="str">
        <f aca="false">IFERROR(INDEX(Schedule!$B$4:$B$200,MATCH(D76,Schedule!$D$4:$D$200,0))&amp;IF(COUNTIF(Schedule!$D$4:$D$200,D76)&gt;1," +"&amp;(COUNTIF(Schedule!$D$4:$D$200,D76)-1)&amp;" more",""),"")</f>
        <v/>
      </c>
      <c r="E77" s="107" t="str">
        <f aca="false">IFERROR(INDEX(Schedule!$B$4:$B$200,MATCH(E76,Schedule!$D$4:$D$200,0))&amp;IF(COUNTIF(Schedule!$D$4:$D$200,E76)&gt;1," +"&amp;(COUNTIF(Schedule!$D$4:$D$200,E76)-1)&amp;" more",""),"")</f>
        <v/>
      </c>
      <c r="F77" s="107" t="str">
        <f aca="false">IFERROR(INDEX(Schedule!$B$4:$B$200,MATCH(F76,Schedule!$D$4:$D$200,0))&amp;IF(COUNTIF(Schedule!$D$4:$D$200,F76)&gt;1," +"&amp;(COUNTIF(Schedule!$D$4:$D$200,F76)-1)&amp;" more",""),"")</f>
        <v/>
      </c>
      <c r="G77" s="108" t="str">
        <f aca="false">IFERROR(INDEX(Schedule!$B$4:$B$200,MATCH(G76,Schedule!$D$4:$D$200,0))&amp;IF(COUNTIF(Schedule!$D$4:$D$200,G76)&gt;1," +"&amp;(COUNTIF(Schedule!$D$4:$D$200,G76)-1)&amp;" more",""),"")</f>
        <v/>
      </c>
      <c r="H77" s="108" t="str">
        <f aca="false">IFERROR(INDEX(Schedule!$B$4:$B$200,MATCH(H76,Schedule!$D$4:$D$200,0))&amp;IF(COUNTIF(Schedule!$D$4:$D$200,H76)&gt;1," +"&amp;(COUNTIF(Schedule!$D$4:$D$200,H76)-1)&amp;" more",""),"")</f>
        <v/>
      </c>
    </row>
    <row r="78" customFormat="false" ht="15" hidden="false" customHeight="false" outlineLevel="0" collapsed="false">
      <c r="A78" s="109" t="n">
        <f aca="false">(Settings!$C$36-(WEEKDAY(Settings!$C$36,2)-1))+259</f>
        <v>46461</v>
      </c>
      <c r="B78" s="105" t="n">
        <f aca="false">$A78+0</f>
        <v>46461</v>
      </c>
      <c r="C78" s="105" t="n">
        <f aca="false">$A78+1</f>
        <v>46462</v>
      </c>
      <c r="D78" s="105" t="n">
        <f aca="false">$A78+2</f>
        <v>46463</v>
      </c>
      <c r="E78" s="105" t="n">
        <f aca="false">$A78+3</f>
        <v>46464</v>
      </c>
      <c r="F78" s="105" t="n">
        <f aca="false">$A78+4</f>
        <v>46465</v>
      </c>
      <c r="G78" s="106" t="n">
        <f aca="false">$A78+5</f>
        <v>46466</v>
      </c>
      <c r="H78" s="106" t="n">
        <f aca="false">$A78+6</f>
        <v>46467</v>
      </c>
    </row>
    <row r="79" customFormat="false" ht="15" hidden="false" customHeight="false" outlineLevel="0" collapsed="false">
      <c r="B79" s="107" t="str">
        <f aca="false">IFERROR(INDEX(Schedule!$B$4:$B$200,MATCH(B78,Schedule!$D$4:$D$200,0))&amp;IF(COUNTIF(Schedule!$D$4:$D$200,B78)&gt;1," +"&amp;(COUNTIF(Schedule!$D$4:$D$200,B78)-1)&amp;" more",""),"")</f>
        <v/>
      </c>
      <c r="C79" s="107" t="str">
        <f aca="false">IFERROR(INDEX(Schedule!$B$4:$B$200,MATCH(C78,Schedule!$D$4:$D$200,0))&amp;IF(COUNTIF(Schedule!$D$4:$D$200,C78)&gt;1," +"&amp;(COUNTIF(Schedule!$D$4:$D$200,C78)-1)&amp;" more",""),"")</f>
        <v/>
      </c>
      <c r="D79" s="107" t="str">
        <f aca="false">IFERROR(INDEX(Schedule!$B$4:$B$200,MATCH(D78,Schedule!$D$4:$D$200,0))&amp;IF(COUNTIF(Schedule!$D$4:$D$200,D78)&gt;1," +"&amp;(COUNTIF(Schedule!$D$4:$D$200,D78)-1)&amp;" more",""),"")</f>
        <v/>
      </c>
      <c r="E79" s="107" t="str">
        <f aca="false">IFERROR(INDEX(Schedule!$B$4:$B$200,MATCH(E78,Schedule!$D$4:$D$200,0))&amp;IF(COUNTIF(Schedule!$D$4:$D$200,E78)&gt;1," +"&amp;(COUNTIF(Schedule!$D$4:$D$200,E78)-1)&amp;" more",""),"")</f>
        <v/>
      </c>
      <c r="F79" s="107" t="str">
        <f aca="false">IFERROR(INDEX(Schedule!$B$4:$B$200,MATCH(F78,Schedule!$D$4:$D$200,0))&amp;IF(COUNTIF(Schedule!$D$4:$D$200,F78)&gt;1," +"&amp;(COUNTIF(Schedule!$D$4:$D$200,F78)-1)&amp;" more",""),"")</f>
        <v/>
      </c>
      <c r="G79" s="108" t="str">
        <f aca="false">IFERROR(INDEX(Schedule!$B$4:$B$200,MATCH(G78,Schedule!$D$4:$D$200,0))&amp;IF(COUNTIF(Schedule!$D$4:$D$200,G78)&gt;1," +"&amp;(COUNTIF(Schedule!$D$4:$D$200,G78)-1)&amp;" more",""),"")</f>
        <v/>
      </c>
      <c r="H79" s="108" t="str">
        <f aca="false">IFERROR(INDEX(Schedule!$B$4:$B$200,MATCH(H78,Schedule!$D$4:$D$200,0))&amp;IF(COUNTIF(Schedule!$D$4:$D$200,H78)&gt;1," +"&amp;(COUNTIF(Schedule!$D$4:$D$200,H78)-1)&amp;" more",""),"")</f>
        <v/>
      </c>
    </row>
  </sheetData>
  <mergeCells count="27">
    <mergeCell ref="A1:H1"/>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s>
  <conditionalFormatting sqref="B4:H4">
    <cfRule type="expression" priority="2" aboveAverage="0" equalAverage="0" bottom="0" percent="0" rank="0" text="" dxfId="6">
      <formula>SUMPRODUCT((Schedule!$D$4:$D$200&lt;=B4)*(Schedule!$E$4:$E$200&gt;=B4))&gt;0</formula>
    </cfRule>
  </conditionalFormatting>
  <conditionalFormatting sqref="B6:H6">
    <cfRule type="expression" priority="3" aboveAverage="0" equalAverage="0" bottom="0" percent="0" rank="0" text="" dxfId="6">
      <formula>SUMPRODUCT((Schedule!$D$4:$D$200&lt;=B6)*(Schedule!$E$4:$E$200&gt;=B6))&gt;0</formula>
    </cfRule>
  </conditionalFormatting>
  <conditionalFormatting sqref="B8:H8">
    <cfRule type="expression" priority="4" aboveAverage="0" equalAverage="0" bottom="0" percent="0" rank="0" text="" dxfId="6">
      <formula>SUMPRODUCT((Schedule!$D$4:$D$200&lt;=B8)*(Schedule!$E$4:$E$200&gt;=B8))&gt;0</formula>
    </cfRule>
  </conditionalFormatting>
  <conditionalFormatting sqref="B10:H10">
    <cfRule type="expression" priority="5" aboveAverage="0" equalAverage="0" bottom="0" percent="0" rank="0" text="" dxfId="6">
      <formula>SUMPRODUCT((Schedule!$D$4:$D$200&lt;=B10)*(Schedule!$E$4:$E$200&gt;=B10))&gt;0</formula>
    </cfRule>
  </conditionalFormatting>
  <conditionalFormatting sqref="B12:H12">
    <cfRule type="expression" priority="6" aboveAverage="0" equalAverage="0" bottom="0" percent="0" rank="0" text="" dxfId="6">
      <formula>SUMPRODUCT((Schedule!$D$4:$D$200&lt;=B12)*(Schedule!$E$4:$E$200&gt;=B12))&gt;0</formula>
    </cfRule>
  </conditionalFormatting>
  <conditionalFormatting sqref="B14:H14">
    <cfRule type="expression" priority="7" aboveAverage="0" equalAverage="0" bottom="0" percent="0" rank="0" text="" dxfId="6">
      <formula>SUMPRODUCT((Schedule!$D$4:$D$200&lt;=B14)*(Schedule!$E$4:$E$200&gt;=B14))&gt;0</formula>
    </cfRule>
  </conditionalFormatting>
  <conditionalFormatting sqref="B16:H16">
    <cfRule type="expression" priority="8" aboveAverage="0" equalAverage="0" bottom="0" percent="0" rank="0" text="" dxfId="6">
      <formula>SUMPRODUCT((Schedule!$D$4:$D$200&lt;=B16)*(Schedule!$E$4:$E$200&gt;=B16))&gt;0</formula>
    </cfRule>
  </conditionalFormatting>
  <conditionalFormatting sqref="B18:H18">
    <cfRule type="expression" priority="9" aboveAverage="0" equalAverage="0" bottom="0" percent="0" rank="0" text="" dxfId="6">
      <formula>SUMPRODUCT((Schedule!$D$4:$D$200&lt;=B18)*(Schedule!$E$4:$E$200&gt;=B18))&gt;0</formula>
    </cfRule>
  </conditionalFormatting>
  <conditionalFormatting sqref="B20:H20">
    <cfRule type="expression" priority="10" aboveAverage="0" equalAverage="0" bottom="0" percent="0" rank="0" text="" dxfId="6">
      <formula>SUMPRODUCT((Schedule!$D$4:$D$200&lt;=B20)*(Schedule!$E$4:$E$200&gt;=B20))&gt;0</formula>
    </cfRule>
  </conditionalFormatting>
  <conditionalFormatting sqref="B22:H22">
    <cfRule type="expression" priority="11" aboveAverage="0" equalAverage="0" bottom="0" percent="0" rank="0" text="" dxfId="6">
      <formula>SUMPRODUCT((Schedule!$D$4:$D$200&lt;=B22)*(Schedule!$E$4:$E$200&gt;=B22))&gt;0</formula>
    </cfRule>
  </conditionalFormatting>
  <conditionalFormatting sqref="B24:H24">
    <cfRule type="expression" priority="12" aboveAverage="0" equalAverage="0" bottom="0" percent="0" rank="0" text="" dxfId="6">
      <formula>SUMPRODUCT((Schedule!$D$4:$D$200&lt;=B24)*(Schedule!$E$4:$E$200&gt;=B24))&gt;0</formula>
    </cfRule>
  </conditionalFormatting>
  <conditionalFormatting sqref="B26:H26">
    <cfRule type="expression" priority="13" aboveAverage="0" equalAverage="0" bottom="0" percent="0" rank="0" text="" dxfId="6">
      <formula>SUMPRODUCT((Schedule!$D$4:$D$200&lt;=B26)*(Schedule!$E$4:$E$200&gt;=B26))&gt;0</formula>
    </cfRule>
  </conditionalFormatting>
  <conditionalFormatting sqref="B28:H28">
    <cfRule type="expression" priority="14" aboveAverage="0" equalAverage="0" bottom="0" percent="0" rank="0" text="" dxfId="6">
      <formula>SUMPRODUCT((Schedule!$D$4:$D$200&lt;=B28)*(Schedule!$E$4:$E$200&gt;=B28))&gt;0</formula>
    </cfRule>
  </conditionalFormatting>
  <conditionalFormatting sqref="B30:H30">
    <cfRule type="expression" priority="15" aboveAverage="0" equalAverage="0" bottom="0" percent="0" rank="0" text="" dxfId="6">
      <formula>SUMPRODUCT((Schedule!$D$4:$D$200&lt;=B30)*(Schedule!$E$4:$E$200&gt;=B30))&gt;0</formula>
    </cfRule>
  </conditionalFormatting>
  <conditionalFormatting sqref="B32:H32">
    <cfRule type="expression" priority="16" aboveAverage="0" equalAverage="0" bottom="0" percent="0" rank="0" text="" dxfId="6">
      <formula>SUMPRODUCT((Schedule!$D$4:$D$200&lt;=B32)*(Schedule!$E$4:$E$200&gt;=B32))&gt;0</formula>
    </cfRule>
  </conditionalFormatting>
  <conditionalFormatting sqref="B34:H34">
    <cfRule type="expression" priority="17" aboveAverage="0" equalAverage="0" bottom="0" percent="0" rank="0" text="" dxfId="6">
      <formula>SUMPRODUCT((Schedule!$D$4:$D$200&lt;=B34)*(Schedule!$E$4:$E$200&gt;=B34))&gt;0</formula>
    </cfRule>
  </conditionalFormatting>
  <conditionalFormatting sqref="B36:H36">
    <cfRule type="expression" priority="18" aboveAverage="0" equalAverage="0" bottom="0" percent="0" rank="0" text="" dxfId="6">
      <formula>SUMPRODUCT((Schedule!$D$4:$D$200&lt;=B36)*(Schedule!$E$4:$E$200&gt;=B36))&gt;0</formula>
    </cfRule>
  </conditionalFormatting>
  <conditionalFormatting sqref="B38:H38">
    <cfRule type="expression" priority="19" aboveAverage="0" equalAverage="0" bottom="0" percent="0" rank="0" text="" dxfId="6">
      <formula>SUMPRODUCT((Schedule!$D$4:$D$200&lt;=B38)*(Schedule!$E$4:$E$200&gt;=B38))&gt;0</formula>
    </cfRule>
  </conditionalFormatting>
  <conditionalFormatting sqref="B40:H40">
    <cfRule type="expression" priority="20" aboveAverage="0" equalAverage="0" bottom="0" percent="0" rank="0" text="" dxfId="6">
      <formula>SUMPRODUCT((Schedule!$D$4:$D$200&lt;=B40)*(Schedule!$E$4:$E$200&gt;=B40))&gt;0</formula>
    </cfRule>
  </conditionalFormatting>
  <conditionalFormatting sqref="B42:H42">
    <cfRule type="expression" priority="21" aboveAverage="0" equalAverage="0" bottom="0" percent="0" rank="0" text="" dxfId="6">
      <formula>SUMPRODUCT((Schedule!$D$4:$D$200&lt;=B42)*(Schedule!$E$4:$E$200&gt;=B42))&gt;0</formula>
    </cfRule>
  </conditionalFormatting>
  <conditionalFormatting sqref="B44:H44">
    <cfRule type="expression" priority="22" aboveAverage="0" equalAverage="0" bottom="0" percent="0" rank="0" text="" dxfId="6">
      <formula>SUMPRODUCT((Schedule!$D$4:$D$200&lt;=B44)*(Schedule!$E$4:$E$200&gt;=B44))&gt;0</formula>
    </cfRule>
  </conditionalFormatting>
  <conditionalFormatting sqref="B46:H46">
    <cfRule type="expression" priority="23" aboveAverage="0" equalAverage="0" bottom="0" percent="0" rank="0" text="" dxfId="6">
      <formula>SUMPRODUCT((Schedule!$D$4:$D$200&lt;=B46)*(Schedule!$E$4:$E$200&gt;=B46))&gt;0</formula>
    </cfRule>
  </conditionalFormatting>
  <conditionalFormatting sqref="B48:H48">
    <cfRule type="expression" priority="24" aboveAverage="0" equalAverage="0" bottom="0" percent="0" rank="0" text="" dxfId="6">
      <formula>SUMPRODUCT((Schedule!$D$4:$D$200&lt;=B48)*(Schedule!$E$4:$E$200&gt;=B48))&gt;0</formula>
    </cfRule>
  </conditionalFormatting>
  <conditionalFormatting sqref="B50:H50">
    <cfRule type="expression" priority="25" aboveAverage="0" equalAverage="0" bottom="0" percent="0" rank="0" text="" dxfId="6">
      <formula>SUMPRODUCT((Schedule!$D$4:$D$200&lt;=B50)*(Schedule!$E$4:$E$200&gt;=B50))&gt;0</formula>
    </cfRule>
  </conditionalFormatting>
  <conditionalFormatting sqref="B52:H52">
    <cfRule type="expression" priority="26" aboveAverage="0" equalAverage="0" bottom="0" percent="0" rank="0" text="" dxfId="6">
      <formula>SUMPRODUCT((Schedule!$D$4:$D$200&lt;=B52)*(Schedule!$E$4:$E$200&gt;=B52))&gt;0</formula>
    </cfRule>
  </conditionalFormatting>
  <conditionalFormatting sqref="B54:H54">
    <cfRule type="expression" priority="27" aboveAverage="0" equalAverage="0" bottom="0" percent="0" rank="0" text="" dxfId="6">
      <formula>SUMPRODUCT((Schedule!$D$4:$D$200&lt;=B54)*(Schedule!$E$4:$E$200&gt;=B54))&gt;0</formula>
    </cfRule>
  </conditionalFormatting>
  <conditionalFormatting sqref="B56:H56">
    <cfRule type="expression" priority="28" aboveAverage="0" equalAverage="0" bottom="0" percent="0" rank="0" text="" dxfId="6">
      <formula>SUMPRODUCT((Schedule!$D$4:$D$200&lt;=B56)*(Schedule!$E$4:$E$200&gt;=B56))&gt;0</formula>
    </cfRule>
  </conditionalFormatting>
  <conditionalFormatting sqref="B58:H58">
    <cfRule type="expression" priority="29" aboveAverage="0" equalAverage="0" bottom="0" percent="0" rank="0" text="" dxfId="6">
      <formula>SUMPRODUCT((Schedule!$D$4:$D$200&lt;=B58)*(Schedule!$E$4:$E$200&gt;=B58))&gt;0</formula>
    </cfRule>
  </conditionalFormatting>
  <conditionalFormatting sqref="B60:H60">
    <cfRule type="expression" priority="30" aboveAverage="0" equalAverage="0" bottom="0" percent="0" rank="0" text="" dxfId="6">
      <formula>SUMPRODUCT((Schedule!$D$4:$D$200&lt;=B60)*(Schedule!$E$4:$E$200&gt;=B60))&gt;0</formula>
    </cfRule>
  </conditionalFormatting>
  <conditionalFormatting sqref="B62:H62">
    <cfRule type="expression" priority="31" aboveAverage="0" equalAverage="0" bottom="0" percent="0" rank="0" text="" dxfId="6">
      <formula>SUMPRODUCT((Schedule!$D$4:$D$200&lt;=B62)*(Schedule!$E$4:$E$200&gt;=B62))&gt;0</formula>
    </cfRule>
  </conditionalFormatting>
  <conditionalFormatting sqref="B64:H64">
    <cfRule type="expression" priority="32" aboveAverage="0" equalAverage="0" bottom="0" percent="0" rank="0" text="" dxfId="6">
      <formula>SUMPRODUCT((Schedule!$D$4:$D$200&lt;=B64)*(Schedule!$E$4:$E$200&gt;=B64))&gt;0</formula>
    </cfRule>
  </conditionalFormatting>
  <conditionalFormatting sqref="B66:H66">
    <cfRule type="expression" priority="33" aboveAverage="0" equalAverage="0" bottom="0" percent="0" rank="0" text="" dxfId="6">
      <formula>SUMPRODUCT((Schedule!$D$4:$D$200&lt;=B66)*(Schedule!$E$4:$E$200&gt;=B66))&gt;0</formula>
    </cfRule>
  </conditionalFormatting>
  <conditionalFormatting sqref="B68:H68">
    <cfRule type="expression" priority="34" aboveAverage="0" equalAverage="0" bottom="0" percent="0" rank="0" text="" dxfId="6">
      <formula>SUMPRODUCT((Schedule!$D$4:$D$200&lt;=B68)*(Schedule!$E$4:$E$200&gt;=B68))&gt;0</formula>
    </cfRule>
  </conditionalFormatting>
  <conditionalFormatting sqref="B70:H70">
    <cfRule type="expression" priority="35" aboveAverage="0" equalAverage="0" bottom="0" percent="0" rank="0" text="" dxfId="6">
      <formula>SUMPRODUCT((Schedule!$D$4:$D$200&lt;=B70)*(Schedule!$E$4:$E$200&gt;=B70))&gt;0</formula>
    </cfRule>
  </conditionalFormatting>
  <conditionalFormatting sqref="B72:H72">
    <cfRule type="expression" priority="36" aboveAverage="0" equalAverage="0" bottom="0" percent="0" rank="0" text="" dxfId="6">
      <formula>SUMPRODUCT((Schedule!$D$4:$D$200&lt;=B72)*(Schedule!$E$4:$E$200&gt;=B72))&gt;0</formula>
    </cfRule>
  </conditionalFormatting>
  <conditionalFormatting sqref="B74:H74">
    <cfRule type="expression" priority="37" aboveAverage="0" equalAverage="0" bottom="0" percent="0" rank="0" text="" dxfId="6">
      <formula>SUMPRODUCT((Schedule!$D$4:$D$200&lt;=B74)*(Schedule!$E$4:$E$200&gt;=B74))&gt;0</formula>
    </cfRule>
  </conditionalFormatting>
  <conditionalFormatting sqref="B76:H76">
    <cfRule type="expression" priority="38" aboveAverage="0" equalAverage="0" bottom="0" percent="0" rank="0" text="" dxfId="6">
      <formula>SUMPRODUCT((Schedule!$D$4:$D$200&lt;=B76)*(Schedule!$E$4:$E$200&gt;=B76))&gt;0</formula>
    </cfRule>
  </conditionalFormatting>
  <conditionalFormatting sqref="B78:H78">
    <cfRule type="expression" priority="39" aboveAverage="0" equalAverage="0" bottom="0" percent="0" rank="0" text="" dxfId="6">
      <formula>SUMPRODUCT((Schedule!$D$4:$D$200&lt;=B78)*(Schedule!$E$4:$E$200&gt;=B78))&gt;0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46"/>
    <col collapsed="false" customWidth="true" hidden="false" outlineLevel="0" max="3" min="3" style="1" width="14"/>
    <col collapsed="false" customWidth="true" hidden="false" outlineLevel="0" max="4" min="4" style="1" width="8"/>
  </cols>
  <sheetData>
    <row r="1" customFormat="false" ht="42" hidden="false" customHeight="true" outlineLevel="0" collapsed="false">
      <c r="D1" s="20" t="s">
        <v>435</v>
      </c>
    </row>
    <row r="2" customFormat="false" ht="15.75" hidden="false" customHeight="true" outlineLevel="0" collapsed="false">
      <c r="D2" s="21" t="str">
        <f aca="false">Settings!C40&amp;"   •   "&amp;Settings!C41</f>
        <v>PO Box 516, Longview, WA 98632   •   360-200-1716</v>
      </c>
    </row>
    <row r="3" customFormat="false" ht="15" hidden="false" customHeight="true" outlineLevel="0" collapsed="false">
      <c r="D3" s="22" t="str">
        <f aca="false">"Project:  "&amp;Settings!C8&amp;"        Estimate  "&amp;Settings!C10</f>
        <v>Project:  Truesdell SFD        Estimate  EST-1001</v>
      </c>
    </row>
    <row r="4" customFormat="false" ht="15" hidden="false" customHeight="true" outlineLevel="0" collapsed="false">
      <c r="A4" s="69" t="s">
        <v>436</v>
      </c>
      <c r="B4" s="69"/>
      <c r="C4" s="69"/>
      <c r="D4" s="69"/>
    </row>
    <row r="5" customFormat="false" ht="15" hidden="false" customHeight="true" outlineLevel="0" collapsed="false">
      <c r="A5" s="71" t="s">
        <v>362</v>
      </c>
      <c r="B5" s="71" t="s">
        <v>437</v>
      </c>
      <c r="C5" s="72" t="s">
        <v>438</v>
      </c>
      <c r="D5" s="70" t="s">
        <v>236</v>
      </c>
    </row>
    <row r="6" customFormat="false" ht="15" hidden="false" customHeight="true" outlineLevel="0" collapsed="false">
      <c r="A6" s="74" t="s">
        <v>367</v>
      </c>
      <c r="B6" s="110" t="str">
        <f aca="false">Estimate!B8</f>
        <v>Bldg. Permit</v>
      </c>
      <c r="C6" s="75" t="n">
        <f aca="false">Estimate!H8</f>
        <v>0</v>
      </c>
      <c r="D6" s="73" t="str">
        <f aca="false">Estimate!L8</f>
        <v>N</v>
      </c>
    </row>
    <row r="7" customFormat="false" ht="15" hidden="false" customHeight="true" outlineLevel="0" collapsed="false">
      <c r="A7" s="74" t="s">
        <v>368</v>
      </c>
      <c r="B7" s="110" t="str">
        <f aca="false">Estimate!B10</f>
        <v>PUD Quoted install</v>
      </c>
      <c r="C7" s="75" t="n">
        <f aca="false">Estimate!H10</f>
        <v>0</v>
      </c>
      <c r="D7" s="73" t="str">
        <f aca="false">Estimate!L10</f>
        <v>N</v>
      </c>
    </row>
    <row r="8" customFormat="false" ht="15" hidden="false" customHeight="true" outlineLevel="0" collapsed="false">
      <c r="A8" s="74" t="s">
        <v>368</v>
      </c>
      <c r="B8" s="110" t="str">
        <f aca="false">Estimate!B11</f>
        <v>Gas service connection</v>
      </c>
      <c r="C8" s="75" t="n">
        <f aca="false">Estimate!H11</f>
        <v>0</v>
      </c>
      <c r="D8" s="73" t="str">
        <f aca="false">Estimate!L11</f>
        <v>N</v>
      </c>
    </row>
    <row r="9" customFormat="false" ht="15" hidden="false" customHeight="true" outlineLevel="0" collapsed="false">
      <c r="A9" s="74" t="s">
        <v>247</v>
      </c>
      <c r="B9" s="110" t="str">
        <f aca="false">Estimate!B13</f>
        <v>Excavation</v>
      </c>
      <c r="C9" s="75" t="n">
        <f aca="false">Estimate!H13</f>
        <v>0</v>
      </c>
      <c r="D9" s="73" t="str">
        <f aca="false">Estimate!L13</f>
        <v>N</v>
      </c>
    </row>
    <row r="10" customFormat="false" ht="15" hidden="false" customHeight="true" outlineLevel="0" collapsed="false">
      <c r="A10" s="74" t="s">
        <v>247</v>
      </c>
      <c r="B10" s="110" t="str">
        <f aca="false">Estimate!B14</f>
        <v>Excavation - utilities &amp; contingency</v>
      </c>
      <c r="C10" s="75" t="n">
        <f aca="false">Estimate!H14</f>
        <v>0</v>
      </c>
      <c r="D10" s="73" t="str">
        <f aca="false">Estimate!L14</f>
        <v>N</v>
      </c>
    </row>
    <row r="11" customFormat="false" ht="15" hidden="false" customHeight="true" outlineLevel="0" collapsed="false">
      <c r="A11" s="74" t="s">
        <v>247</v>
      </c>
      <c r="B11" s="110" t="str">
        <f aca="false">Estimate!B15</f>
        <v>Backfill - Labor</v>
      </c>
      <c r="C11" s="75" t="n">
        <f aca="false">Estimate!H15</f>
        <v>0</v>
      </c>
      <c r="D11" s="73" t="str">
        <f aca="false">Estimate!L15</f>
        <v>N</v>
      </c>
    </row>
    <row r="12" customFormat="false" ht="15" hidden="false" customHeight="true" outlineLevel="0" collapsed="false">
      <c r="A12" s="74" t="s">
        <v>247</v>
      </c>
      <c r="B12" s="110" t="str">
        <f aca="false">Estimate!B16</f>
        <v>Backfill - Gravel and fill</v>
      </c>
      <c r="C12" s="75" t="n">
        <f aca="false">Estimate!H16</f>
        <v>0</v>
      </c>
      <c r="D12" s="73" t="str">
        <f aca="false">Estimate!L16</f>
        <v>N</v>
      </c>
    </row>
    <row r="13" customFormat="false" ht="15" hidden="false" customHeight="true" outlineLevel="0" collapsed="false">
      <c r="A13" s="74" t="s">
        <v>369</v>
      </c>
      <c r="B13" s="110" t="str">
        <f aca="false">Estimate!B18</f>
        <v>Septic system install - Pressure distribution</v>
      </c>
      <c r="C13" s="75" t="n">
        <f aca="false">Estimate!H18</f>
        <v>0</v>
      </c>
      <c r="D13" s="73" t="str">
        <f aca="false">Estimate!L18</f>
        <v>N</v>
      </c>
    </row>
    <row r="14" customFormat="false" ht="15" hidden="false" customHeight="true" outlineLevel="0" collapsed="false">
      <c r="A14" s="74" t="s">
        <v>369</v>
      </c>
      <c r="B14" s="110" t="str">
        <f aca="false">Estimate!B19</f>
        <v>Septic design</v>
      </c>
      <c r="C14" s="75" t="n">
        <f aca="false">Estimate!H19</f>
        <v>0</v>
      </c>
      <c r="D14" s="73" t="str">
        <f aca="false">Estimate!L19</f>
        <v>N</v>
      </c>
    </row>
    <row r="15" customFormat="false" ht="15" hidden="false" customHeight="true" outlineLevel="0" collapsed="false">
      <c r="A15" s="74" t="s">
        <v>369</v>
      </c>
      <c r="B15" s="110" t="str">
        <f aca="false">Estimate!B20</f>
        <v>Septic permit</v>
      </c>
      <c r="C15" s="75" t="n">
        <f aca="false">Estimate!H20</f>
        <v>0</v>
      </c>
      <c r="D15" s="73" t="str">
        <f aca="false">Estimate!L20</f>
        <v>N</v>
      </c>
    </row>
    <row r="16" customFormat="false" ht="15" hidden="false" customHeight="true" outlineLevel="0" collapsed="false">
      <c r="A16" s="74" t="s">
        <v>370</v>
      </c>
      <c r="B16" s="110" t="str">
        <f aca="false">Estimate!B22</f>
        <v>Well</v>
      </c>
      <c r="C16" s="75" t="n">
        <f aca="false">Estimate!H22</f>
        <v>0</v>
      </c>
      <c r="D16" s="73" t="str">
        <f aca="false">Estimate!L22</f>
        <v>N</v>
      </c>
    </row>
    <row r="17" customFormat="false" ht="15" hidden="false" customHeight="true" outlineLevel="0" collapsed="false">
      <c r="A17" s="74" t="s">
        <v>97</v>
      </c>
      <c r="B17" s="110" t="str">
        <f aca="false">Estimate!B24</f>
        <v>Home Cleaning @ Final</v>
      </c>
      <c r="C17" s="75" t="n">
        <f aca="false">Estimate!H24</f>
        <v>0</v>
      </c>
      <c r="D17" s="73" t="str">
        <f aca="false">Estimate!L24</f>
        <v>N</v>
      </c>
    </row>
    <row r="18" customFormat="false" ht="15" hidden="false" customHeight="true" outlineLevel="0" collapsed="false">
      <c r="A18" s="74" t="s">
        <v>97</v>
      </c>
      <c r="B18" s="110" t="str">
        <f aca="false">Estimate!B25</f>
        <v>Portable toilet</v>
      </c>
      <c r="C18" s="75" t="n">
        <f aca="false">Estimate!H25</f>
        <v>0</v>
      </c>
      <c r="D18" s="73" t="str">
        <f aca="false">Estimate!L25</f>
        <v>N</v>
      </c>
    </row>
    <row r="19" customFormat="false" ht="15" hidden="false" customHeight="true" outlineLevel="0" collapsed="false">
      <c r="A19" s="74" t="s">
        <v>97</v>
      </c>
      <c r="B19" s="110" t="str">
        <f aca="false">Estimate!B26</f>
        <v>Dumping fees / site cleanup</v>
      </c>
      <c r="C19" s="75" t="n">
        <f aca="false">Estimate!H26</f>
        <v>0</v>
      </c>
      <c r="D19" s="73" t="str">
        <f aca="false">Estimate!L26</f>
        <v>N</v>
      </c>
    </row>
    <row r="20" customFormat="false" ht="15" hidden="false" customHeight="true" outlineLevel="0" collapsed="false">
      <c r="A20" s="74" t="s">
        <v>102</v>
      </c>
      <c r="B20" s="110" t="str">
        <f aca="false">Estimate!B29</f>
        <v>Foundation Labor/concrete</v>
      </c>
      <c r="C20" s="75" t="n">
        <f aca="false">Estimate!H29</f>
        <v>0</v>
      </c>
      <c r="D20" s="73" t="str">
        <f aca="false">Estimate!L29</f>
        <v>N</v>
      </c>
    </row>
    <row r="21" customFormat="false" ht="15" hidden="false" customHeight="true" outlineLevel="0" collapsed="false">
      <c r="A21" s="74" t="s">
        <v>102</v>
      </c>
      <c r="B21" s="110" t="str">
        <f aca="false">Estimate!B30</f>
        <v>Pump Truck</v>
      </c>
      <c r="C21" s="75" t="n">
        <f aca="false">Estimate!H30</f>
        <v>0</v>
      </c>
      <c r="D21" s="73" t="str">
        <f aca="false">Estimate!L30</f>
        <v>N</v>
      </c>
    </row>
    <row r="22" customFormat="false" ht="15" hidden="false" customHeight="true" outlineLevel="0" collapsed="false">
      <c r="A22" s="74" t="s">
        <v>371</v>
      </c>
      <c r="B22" s="110" t="str">
        <f aca="false">Estimate!B33</f>
        <v>Materials - 1st floor - 9.5" TJI</v>
      </c>
      <c r="C22" s="75" t="n">
        <f aca="false">Estimate!H33</f>
        <v>0</v>
      </c>
      <c r="D22" s="73" t="str">
        <f aca="false">Estimate!L33</f>
        <v>N</v>
      </c>
    </row>
    <row r="23" customFormat="false" ht="15" hidden="false" customHeight="true" outlineLevel="0" collapsed="false">
      <c r="A23" s="74" t="s">
        <v>371</v>
      </c>
      <c r="B23" s="110" t="str">
        <f aca="false">Estimate!B34</f>
        <v>Exterior Walls 9' PLT HT</v>
      </c>
      <c r="C23" s="75" t="n">
        <f aca="false">Estimate!H34</f>
        <v>0</v>
      </c>
      <c r="D23" s="73" t="str">
        <f aca="false">Estimate!L34</f>
        <v>N</v>
      </c>
    </row>
    <row r="24" customFormat="false" ht="15" hidden="false" customHeight="true" outlineLevel="0" collapsed="false">
      <c r="A24" s="74" t="s">
        <v>371</v>
      </c>
      <c r="B24" s="110" t="str">
        <f aca="false">Estimate!B35</f>
        <v>Materials - Roof pack</v>
      </c>
      <c r="C24" s="75" t="n">
        <f aca="false">Estimate!H35</f>
        <v>0</v>
      </c>
      <c r="D24" s="73" t="str">
        <f aca="false">Estimate!L35</f>
        <v>N</v>
      </c>
    </row>
    <row r="25" customFormat="false" ht="15" hidden="false" customHeight="true" outlineLevel="0" collapsed="false">
      <c r="A25" s="74" t="s">
        <v>371</v>
      </c>
      <c r="B25" s="110" t="str">
        <f aca="false">Estimate!B36</f>
        <v>Materials - Trusses</v>
      </c>
      <c r="C25" s="75" t="n">
        <f aca="false">Estimate!H36</f>
        <v>0</v>
      </c>
      <c r="D25" s="73" t="str">
        <f aca="false">Estimate!L36</f>
        <v>N</v>
      </c>
    </row>
    <row r="26" customFormat="false" ht="15" hidden="false" customHeight="true" outlineLevel="0" collapsed="false">
      <c r="A26" s="74" t="s">
        <v>371</v>
      </c>
      <c r="B26" s="110" t="str">
        <f aca="false">Estimate!B37</f>
        <v>Beams - hardware - Posts</v>
      </c>
      <c r="C26" s="75" t="n">
        <f aca="false">Estimate!H37</f>
        <v>0</v>
      </c>
      <c r="D26" s="73" t="str">
        <f aca="false">Estimate!L37</f>
        <v>N</v>
      </c>
    </row>
    <row r="27" customFormat="false" ht="15" hidden="false" customHeight="true" outlineLevel="0" collapsed="false">
      <c r="A27" s="74" t="s">
        <v>110</v>
      </c>
      <c r="B27" s="110" t="str">
        <f aca="false">Estimate!B39</f>
        <v>Framing labor - living space</v>
      </c>
      <c r="C27" s="75" t="n">
        <f aca="false">Estimate!H39</f>
        <v>0</v>
      </c>
      <c r="D27" s="73" t="str">
        <f aca="false">Estimate!L39</f>
        <v>N</v>
      </c>
    </row>
    <row r="28" customFormat="false" ht="15" hidden="false" customHeight="true" outlineLevel="0" collapsed="false">
      <c r="A28" s="74" t="s">
        <v>110</v>
      </c>
      <c r="B28" s="110" t="str">
        <f aca="false">Estimate!B40</f>
        <v>Framing labor - Covered porch/Garage</v>
      </c>
      <c r="C28" s="75" t="n">
        <f aca="false">Estimate!H40</f>
        <v>0</v>
      </c>
      <c r="D28" s="73" t="str">
        <f aca="false">Estimate!L40</f>
        <v>N</v>
      </c>
    </row>
    <row r="29" customFormat="false" ht="15" hidden="false" customHeight="true" outlineLevel="0" collapsed="false">
      <c r="A29" s="74" t="s">
        <v>372</v>
      </c>
      <c r="B29" s="110" t="str">
        <f aca="false">Estimate!B43</f>
        <v>Front door 3080 - Knotty Alder</v>
      </c>
      <c r="C29" s="75" t="n">
        <f aca="false">Estimate!H43</f>
        <v>0</v>
      </c>
      <c r="D29" s="73" t="str">
        <f aca="false">Estimate!L43</f>
        <v>N</v>
      </c>
    </row>
    <row r="30" customFormat="false" ht="15" hidden="false" customHeight="true" outlineLevel="0" collapsed="false">
      <c r="A30" s="74" t="s">
        <v>118</v>
      </c>
      <c r="B30" s="110" t="str">
        <f aca="false">Estimate!B45</f>
        <v>Exterior doors</v>
      </c>
      <c r="C30" s="75" t="n">
        <f aca="false">Estimate!H45</f>
        <v>0</v>
      </c>
      <c r="D30" s="73" t="str">
        <f aca="false">Estimate!L45</f>
        <v>N</v>
      </c>
    </row>
    <row r="31" customFormat="false" ht="15" hidden="false" customHeight="true" outlineLevel="0" collapsed="false">
      <c r="A31" s="74" t="s">
        <v>121</v>
      </c>
      <c r="B31" s="110" t="str">
        <f aca="false">Estimate!B47</f>
        <v>18*8</v>
      </c>
      <c r="C31" s="75" t="n">
        <f aca="false">Estimate!H47</f>
        <v>0</v>
      </c>
      <c r="D31" s="73" t="str">
        <f aca="false">Estimate!L47</f>
        <v>N</v>
      </c>
    </row>
    <row r="32" customFormat="false" ht="15" hidden="false" customHeight="true" outlineLevel="0" collapsed="false">
      <c r="A32" s="74" t="s">
        <v>121</v>
      </c>
      <c r="B32" s="110" t="str">
        <f aca="false">Estimate!B48</f>
        <v>Garage Door openers</v>
      </c>
      <c r="C32" s="75" t="n">
        <f aca="false">Estimate!H48</f>
        <v>0</v>
      </c>
      <c r="D32" s="73" t="str">
        <f aca="false">Estimate!L48</f>
        <v>N</v>
      </c>
    </row>
    <row r="33" customFormat="false" ht="15" hidden="false" customHeight="true" outlineLevel="0" collapsed="false">
      <c r="A33" s="74" t="s">
        <v>281</v>
      </c>
      <c r="B33" s="110" t="str">
        <f aca="false">Estimate!B50</f>
        <v>Windows</v>
      </c>
      <c r="C33" s="75" t="n">
        <f aca="false">Estimate!H50</f>
        <v>0</v>
      </c>
      <c r="D33" s="73" t="str">
        <f aca="false">Estimate!L50</f>
        <v>N</v>
      </c>
    </row>
    <row r="34" customFormat="false" ht="15" hidden="false" customHeight="true" outlineLevel="0" collapsed="false">
      <c r="A34" s="74" t="s">
        <v>281</v>
      </c>
      <c r="B34" s="110" t="str">
        <f aca="false">Estimate!B51</f>
        <v>SGD (sliding glass door)</v>
      </c>
      <c r="C34" s="75" t="n">
        <f aca="false">Estimate!H51</f>
        <v>0</v>
      </c>
      <c r="D34" s="73" t="str">
        <f aca="false">Estimate!L51</f>
        <v>N</v>
      </c>
    </row>
    <row r="35" customFormat="false" ht="15" hidden="false" customHeight="true" outlineLevel="0" collapsed="false">
      <c r="A35" s="74" t="s">
        <v>129</v>
      </c>
      <c r="B35" s="110" t="str">
        <f aca="false">Estimate!B54</f>
        <v>Siding materials package</v>
      </c>
      <c r="C35" s="75" t="n">
        <f aca="false">Estimate!H54</f>
        <v>0</v>
      </c>
      <c r="D35" s="73" t="str">
        <f aca="false">Estimate!L54</f>
        <v>N</v>
      </c>
    </row>
    <row r="36" customFormat="false" ht="15" hidden="false" customHeight="true" outlineLevel="0" collapsed="false">
      <c r="A36" s="74" t="s">
        <v>132</v>
      </c>
      <c r="B36" s="110" t="str">
        <f aca="false">Estimate!B56</f>
        <v>Siding labor - 7" horizontal</v>
      </c>
      <c r="C36" s="75" t="n">
        <f aca="false">Estimate!H56</f>
        <v>0</v>
      </c>
      <c r="D36" s="73" t="str">
        <f aca="false">Estimate!L56</f>
        <v>N</v>
      </c>
    </row>
    <row r="37" customFormat="false" ht="15" hidden="false" customHeight="true" outlineLevel="0" collapsed="false">
      <c r="A37" s="74" t="s">
        <v>132</v>
      </c>
      <c r="B37" s="110" t="str">
        <f aca="false">Estimate!B57</f>
        <v>Siding labor - Soffits</v>
      </c>
      <c r="C37" s="75" t="n">
        <f aca="false">Estimate!H57</f>
        <v>0</v>
      </c>
      <c r="D37" s="73" t="str">
        <f aca="false">Estimate!L57</f>
        <v>N</v>
      </c>
    </row>
    <row r="38" customFormat="false" ht="15" hidden="false" customHeight="true" outlineLevel="0" collapsed="false">
      <c r="A38" s="74" t="s">
        <v>132</v>
      </c>
      <c r="B38" s="110" t="str">
        <f aca="false">Estimate!B58</f>
        <v>Siding labor - Post wraps</v>
      </c>
      <c r="C38" s="75" t="n">
        <f aca="false">Estimate!H58</f>
        <v>0</v>
      </c>
      <c r="D38" s="73" t="str">
        <f aca="false">Estimate!L58</f>
        <v>N</v>
      </c>
    </row>
    <row r="39" customFormat="false" ht="15" hidden="false" customHeight="true" outlineLevel="0" collapsed="false">
      <c r="A39" s="74" t="s">
        <v>373</v>
      </c>
      <c r="B39" s="110" t="str">
        <f aca="false">Estimate!B60</f>
        <v>Roofing Material</v>
      </c>
      <c r="C39" s="75" t="n">
        <f aca="false">Estimate!H60</f>
        <v>0</v>
      </c>
      <c r="D39" s="73" t="str">
        <f aca="false">Estimate!L60</f>
        <v>N</v>
      </c>
    </row>
    <row r="40" customFormat="false" ht="15" hidden="false" customHeight="true" outlineLevel="0" collapsed="false">
      <c r="A40" s="74" t="s">
        <v>373</v>
      </c>
      <c r="B40" s="110" t="str">
        <f aca="false">Estimate!B61</f>
        <v>Roofing Labor</v>
      </c>
      <c r="C40" s="75" t="n">
        <f aca="false">Estimate!H61</f>
        <v>0</v>
      </c>
      <c r="D40" s="73" t="str">
        <f aca="false">Estimate!L61</f>
        <v>N</v>
      </c>
    </row>
    <row r="41" customFormat="false" ht="15" hidden="false" customHeight="true" outlineLevel="0" collapsed="false">
      <c r="A41" s="74" t="s">
        <v>138</v>
      </c>
      <c r="B41" s="110" t="str">
        <f aca="false">Estimate!B63</f>
        <v>Gutters</v>
      </c>
      <c r="C41" s="75" t="n">
        <f aca="false">Estimate!H63</f>
        <v>0</v>
      </c>
      <c r="D41" s="73" t="str">
        <f aca="false">Estimate!L63</f>
        <v>N</v>
      </c>
    </row>
    <row r="42" customFormat="false" ht="15" hidden="false" customHeight="true" outlineLevel="0" collapsed="false">
      <c r="A42" s="74" t="s">
        <v>141</v>
      </c>
      <c r="B42" s="110" t="str">
        <f aca="false">Estimate!B65</f>
        <v>Cultured stone</v>
      </c>
      <c r="C42" s="75" t="n">
        <f aca="false">Estimate!H65</f>
        <v>0</v>
      </c>
      <c r="D42" s="73" t="str">
        <f aca="false">Estimate!L65</f>
        <v>N</v>
      </c>
    </row>
    <row r="43" customFormat="false" ht="15" hidden="false" customHeight="true" outlineLevel="0" collapsed="false">
      <c r="A43" s="74" t="s">
        <v>144</v>
      </c>
      <c r="B43" s="110" t="str">
        <f aca="false">Estimate!B67</f>
        <v>Exterior Painting Material &amp; Labor</v>
      </c>
      <c r="C43" s="75" t="n">
        <f aca="false">Estimate!H67</f>
        <v>0</v>
      </c>
      <c r="D43" s="73" t="str">
        <f aca="false">Estimate!L67</f>
        <v>N</v>
      </c>
    </row>
    <row r="44" customFormat="false" ht="15" hidden="false" customHeight="true" outlineLevel="0" collapsed="false">
      <c r="A44" s="74" t="s">
        <v>374</v>
      </c>
      <c r="B44" s="110" t="str">
        <f aca="false">Estimate!B69</f>
        <v>Driveway</v>
      </c>
      <c r="C44" s="75" t="n">
        <f aca="false">Estimate!H69</f>
        <v>0</v>
      </c>
      <c r="D44" s="73" t="str">
        <f aca="false">Estimate!L69</f>
        <v>N</v>
      </c>
    </row>
    <row r="45" customFormat="false" ht="15" hidden="false" customHeight="true" outlineLevel="0" collapsed="false">
      <c r="A45" s="74" t="s">
        <v>374</v>
      </c>
      <c r="B45" s="110" t="str">
        <f aca="false">Estimate!B70</f>
        <v>Exterior concrete patio &amp; walkway</v>
      </c>
      <c r="C45" s="75" t="n">
        <f aca="false">Estimate!H70</f>
        <v>0</v>
      </c>
      <c r="D45" s="73" t="str">
        <f aca="false">Estimate!L70</f>
        <v>N</v>
      </c>
    </row>
    <row r="46" customFormat="false" ht="15" hidden="false" customHeight="true" outlineLevel="0" collapsed="false">
      <c r="A46" s="74" t="s">
        <v>374</v>
      </c>
      <c r="B46" s="110" t="str">
        <f aca="false">Estimate!B71</f>
        <v>Garage slab</v>
      </c>
      <c r="C46" s="75" t="n">
        <f aca="false">Estimate!H71</f>
        <v>0</v>
      </c>
      <c r="D46" s="73" t="str">
        <f aca="false">Estimate!L71</f>
        <v>N</v>
      </c>
    </row>
    <row r="47" customFormat="false" ht="15" hidden="false" customHeight="true" outlineLevel="0" collapsed="false">
      <c r="A47" s="74" t="s">
        <v>150</v>
      </c>
      <c r="B47" s="110" t="str">
        <f aca="false">Estimate!B74</f>
        <v>HVAC system</v>
      </c>
      <c r="C47" s="75" t="n">
        <f aca="false">Estimate!H74</f>
        <v>0</v>
      </c>
      <c r="D47" s="73" t="str">
        <f aca="false">Estimate!L74</f>
        <v>N</v>
      </c>
    </row>
    <row r="48" customFormat="false" ht="15" hidden="false" customHeight="true" outlineLevel="0" collapsed="false">
      <c r="A48" s="74" t="s">
        <v>375</v>
      </c>
      <c r="B48" s="110" t="str">
        <f aca="false">Estimate!B76</f>
        <v>Fireplace - install only + stove pipe parts</v>
      </c>
      <c r="C48" s="75" t="n">
        <f aca="false">Estimate!H76</f>
        <v>0</v>
      </c>
      <c r="D48" s="73" t="str">
        <f aca="false">Estimate!L76</f>
        <v>N</v>
      </c>
    </row>
    <row r="49" customFormat="false" ht="15" hidden="false" customHeight="true" outlineLevel="0" collapsed="false">
      <c r="A49" s="74" t="s">
        <v>157</v>
      </c>
      <c r="B49" s="110" t="str">
        <f aca="false">Estimate!B79</f>
        <v>Plumbing quote complete</v>
      </c>
      <c r="C49" s="75" t="n">
        <f aca="false">Estimate!H79</f>
        <v>0</v>
      </c>
      <c r="D49" s="73" t="str">
        <f aca="false">Estimate!L79</f>
        <v>N</v>
      </c>
    </row>
    <row r="50" customFormat="false" ht="15" hidden="false" customHeight="true" outlineLevel="0" collapsed="false">
      <c r="A50" s="74" t="s">
        <v>162</v>
      </c>
      <c r="B50" s="110" t="str">
        <f aca="false">Estimate!B82</f>
        <v>Electrical System</v>
      </c>
      <c r="C50" s="75" t="n">
        <f aca="false">Estimate!H82</f>
        <v>0</v>
      </c>
      <c r="D50" s="73" t="str">
        <f aca="false">Estimate!L82</f>
        <v>N</v>
      </c>
    </row>
    <row r="51" customFormat="false" ht="15" hidden="false" customHeight="true" outlineLevel="0" collapsed="false">
      <c r="A51" s="74" t="s">
        <v>162</v>
      </c>
      <c r="B51" s="110" t="str">
        <f aca="false">Estimate!B83</f>
        <v>Low-voltage rough-in (data / cable / TV)</v>
      </c>
      <c r="C51" s="75" t="n">
        <f aca="false">Estimate!H83</f>
        <v>0</v>
      </c>
      <c r="D51" s="73" t="str">
        <f aca="false">Estimate!L83</f>
        <v>N</v>
      </c>
    </row>
    <row r="52" customFormat="false" ht="15" hidden="false" customHeight="true" outlineLevel="0" collapsed="false">
      <c r="A52" s="74" t="s">
        <v>162</v>
      </c>
      <c r="B52" s="110" t="str">
        <f aca="false">Estimate!B84</f>
        <v>EV charger circuit (rough-in)</v>
      </c>
      <c r="C52" s="75" t="n">
        <f aca="false">Estimate!H84</f>
        <v>0</v>
      </c>
      <c r="D52" s="73" t="str">
        <f aca="false">Estimate!L84</f>
        <v>N</v>
      </c>
    </row>
    <row r="53" customFormat="false" ht="15" hidden="false" customHeight="true" outlineLevel="0" collapsed="false">
      <c r="A53" s="74" t="s">
        <v>376</v>
      </c>
      <c r="B53" s="110" t="str">
        <f aca="false">Estimate!B86</f>
        <v>Fixture allowance</v>
      </c>
      <c r="C53" s="75" t="n">
        <f aca="false">Estimate!H86</f>
        <v>0</v>
      </c>
      <c r="D53" s="73" t="str">
        <f aca="false">Estimate!L86</f>
        <v>N</v>
      </c>
    </row>
    <row r="54" customFormat="false" ht="15" hidden="false" customHeight="true" outlineLevel="0" collapsed="false">
      <c r="A54" s="74" t="s">
        <v>170</v>
      </c>
      <c r="B54" s="110" t="str">
        <f aca="false">Estimate!B89</f>
        <v>Insulation</v>
      </c>
      <c r="C54" s="75" t="n">
        <f aca="false">Estimate!H89</f>
        <v>0</v>
      </c>
      <c r="D54" s="73" t="str">
        <f aca="false">Estimate!L89</f>
        <v>N</v>
      </c>
    </row>
    <row r="55" customFormat="false" ht="15" hidden="false" customHeight="true" outlineLevel="0" collapsed="false">
      <c r="A55" s="74" t="s">
        <v>176</v>
      </c>
      <c r="B55" s="110" t="str">
        <f aca="false">Estimate!B92</f>
        <v>Drywall, hang, tape, texture</v>
      </c>
      <c r="C55" s="75" t="n">
        <f aca="false">Estimate!H92</f>
        <v>0</v>
      </c>
      <c r="D55" s="73" t="str">
        <f aca="false">Estimate!L92</f>
        <v>N</v>
      </c>
    </row>
    <row r="56" customFormat="false" ht="15" hidden="false" customHeight="true" outlineLevel="0" collapsed="false">
      <c r="A56" s="74" t="s">
        <v>179</v>
      </c>
      <c r="B56" s="110" t="str">
        <f aca="false">Estimate!B94</f>
        <v>Interior wall/ceiling/trim painting</v>
      </c>
      <c r="C56" s="75" t="n">
        <f aca="false">Estimate!H94</f>
        <v>0</v>
      </c>
      <c r="D56" s="73" t="str">
        <f aca="false">Estimate!L94</f>
        <v>N</v>
      </c>
    </row>
    <row r="57" customFormat="false" ht="15" hidden="false" customHeight="true" outlineLevel="0" collapsed="false">
      <c r="A57" s="74" t="s">
        <v>377</v>
      </c>
      <c r="B57" s="110" t="str">
        <f aca="false">Estimate!B97</f>
        <v>Bathroom mirrors</v>
      </c>
      <c r="C57" s="75" t="n">
        <f aca="false">Estimate!H97</f>
        <v>0</v>
      </c>
      <c r="D57" s="73" t="str">
        <f aca="false">Estimate!L97</f>
        <v>N</v>
      </c>
    </row>
    <row r="58" customFormat="false" ht="15" hidden="false" customHeight="true" outlineLevel="0" collapsed="false">
      <c r="A58" s="74" t="s">
        <v>377</v>
      </c>
      <c r="B58" s="110" t="str">
        <f aca="false">Estimate!B98</f>
        <v>TP holders, towel rod, towel ring per bath</v>
      </c>
      <c r="C58" s="75" t="n">
        <f aca="false">Estimate!H98</f>
        <v>0</v>
      </c>
      <c r="D58" s="73" t="str">
        <f aca="false">Estimate!L98</f>
        <v>N</v>
      </c>
    </row>
    <row r="59" customFormat="false" ht="15" hidden="false" customHeight="true" outlineLevel="0" collapsed="false">
      <c r="A59" s="74" t="s">
        <v>378</v>
      </c>
      <c r="B59" s="110" t="str">
        <f aca="false">Estimate!B100</f>
        <v>Stone</v>
      </c>
      <c r="C59" s="75" t="n">
        <f aca="false">Estimate!H100</f>
        <v>0</v>
      </c>
      <c r="D59" s="73" t="str">
        <f aca="false">Estimate!L100</f>
        <v>N</v>
      </c>
    </row>
    <row r="60" customFormat="false" ht="15" hidden="false" customHeight="true" outlineLevel="0" collapsed="false">
      <c r="A60" s="74" t="s">
        <v>378</v>
      </c>
      <c r="B60" s="110" t="str">
        <f aca="false">Estimate!B101</f>
        <v>Wood Mantel</v>
      </c>
      <c r="C60" s="75" t="n">
        <f aca="false">Estimate!H101</f>
        <v>0</v>
      </c>
      <c r="D60" s="73" t="str">
        <f aca="false">Estimate!L101</f>
        <v>N</v>
      </c>
    </row>
    <row r="61" customFormat="false" ht="15" hidden="false" customHeight="true" outlineLevel="0" collapsed="false">
      <c r="A61" s="74" t="s">
        <v>379</v>
      </c>
      <c r="B61" s="110" t="str">
        <f aca="false">Estimate!B104</f>
        <v>LVT/Laminate</v>
      </c>
      <c r="C61" s="75" t="n">
        <f aca="false">Estimate!H104</f>
        <v>0</v>
      </c>
      <c r="D61" s="73" t="str">
        <f aca="false">Estimate!L104</f>
        <v>N</v>
      </c>
    </row>
    <row r="62" customFormat="false" ht="15" hidden="false" customHeight="true" outlineLevel="0" collapsed="false">
      <c r="A62" s="74" t="s">
        <v>379</v>
      </c>
      <c r="B62" s="110" t="str">
        <f aca="false">Estimate!B105</f>
        <v>Tile (install)</v>
      </c>
      <c r="C62" s="75" t="n">
        <f aca="false">Estimate!H105</f>
        <v>0</v>
      </c>
      <c r="D62" s="73" t="str">
        <f aca="false">Estimate!L105</f>
        <v>N</v>
      </c>
    </row>
    <row r="63" customFormat="false" ht="15" hidden="false" customHeight="true" outlineLevel="0" collapsed="false">
      <c r="A63" s="74" t="s">
        <v>379</v>
      </c>
      <c r="B63" s="110" t="str">
        <f aca="false">Estimate!B106</f>
        <v>Shower pan / tile waterproofing</v>
      </c>
      <c r="C63" s="75" t="n">
        <f aca="false">Estimate!H106</f>
        <v>0</v>
      </c>
      <c r="D63" s="73" t="str">
        <f aca="false">Estimate!L106</f>
        <v>N</v>
      </c>
    </row>
    <row r="64" customFormat="false" ht="15" hidden="false" customHeight="true" outlineLevel="0" collapsed="false">
      <c r="A64" s="74" t="s">
        <v>379</v>
      </c>
      <c r="B64" s="110" t="str">
        <f aca="false">Estimate!B107</f>
        <v>Shower glass enclosure</v>
      </c>
      <c r="C64" s="75" t="n">
        <f aca="false">Estimate!H107</f>
        <v>0</v>
      </c>
      <c r="D64" s="73" t="str">
        <f aca="false">Estimate!L107</f>
        <v>N</v>
      </c>
    </row>
    <row r="65" customFormat="false" ht="15" hidden="false" customHeight="true" outlineLevel="0" collapsed="false">
      <c r="A65" s="74" t="s">
        <v>380</v>
      </c>
      <c r="B65" s="110" t="str">
        <f aca="false">Estimate!B109</f>
        <v>Tile Selection</v>
      </c>
      <c r="C65" s="75" t="n">
        <f aca="false">Estimate!H109</f>
        <v>0</v>
      </c>
      <c r="D65" s="73" t="str">
        <f aca="false">Estimate!L109</f>
        <v>N</v>
      </c>
    </row>
    <row r="66" customFormat="false" ht="15" hidden="false" customHeight="true" outlineLevel="0" collapsed="false">
      <c r="A66" s="74" t="s">
        <v>380</v>
      </c>
      <c r="B66" s="110" t="str">
        <f aca="false">Estimate!B110</f>
        <v>LVT/Laminate</v>
      </c>
      <c r="C66" s="75" t="n">
        <f aca="false">Estimate!H110</f>
        <v>0</v>
      </c>
      <c r="D66" s="73" t="str">
        <f aca="false">Estimate!L110</f>
        <v>N</v>
      </c>
    </row>
    <row r="67" customFormat="false" ht="15" hidden="false" customHeight="true" outlineLevel="0" collapsed="false">
      <c r="A67" s="74" t="s">
        <v>201</v>
      </c>
      <c r="B67" s="110" t="str">
        <f aca="false">Estimate!B113</f>
        <v>Interior trim pack</v>
      </c>
      <c r="C67" s="75" t="n">
        <f aca="false">Estimate!H113</f>
        <v>0</v>
      </c>
      <c r="D67" s="73" t="str">
        <f aca="false">Estimate!L113</f>
        <v>N</v>
      </c>
    </row>
    <row r="68" customFormat="false" ht="15" hidden="false" customHeight="true" outlineLevel="0" collapsed="false">
      <c r="A68" s="74" t="s">
        <v>204</v>
      </c>
      <c r="B68" s="110" t="str">
        <f aca="false">Estimate!B115</f>
        <v>Finish labor</v>
      </c>
      <c r="C68" s="75" t="n">
        <f aca="false">Estimate!H115</f>
        <v>0</v>
      </c>
      <c r="D68" s="73" t="str">
        <f aca="false">Estimate!L115</f>
        <v>N</v>
      </c>
    </row>
    <row r="69" customFormat="false" ht="15" hidden="false" customHeight="true" outlineLevel="0" collapsed="false">
      <c r="A69" s="74" t="s">
        <v>381</v>
      </c>
      <c r="B69" s="110" t="str">
        <f aca="false">Estimate!B117</f>
        <v>Supply and install cabinets complete</v>
      </c>
      <c r="C69" s="75" t="n">
        <f aca="false">Estimate!H117</f>
        <v>0</v>
      </c>
      <c r="D69" s="73" t="str">
        <f aca="false">Estimate!L117</f>
        <v>N</v>
      </c>
    </row>
    <row r="70" customFormat="false" ht="15" hidden="false" customHeight="true" outlineLevel="0" collapsed="false">
      <c r="A70" s="74" t="s">
        <v>382</v>
      </c>
      <c r="B70" s="110" t="str">
        <f aca="false">Estimate!B119</f>
        <v>Countertops - Group B</v>
      </c>
      <c r="C70" s="75" t="n">
        <f aca="false">Estimate!H119</f>
        <v>0</v>
      </c>
      <c r="D70" s="73" t="str">
        <f aca="false">Estimate!L119</f>
        <v>N</v>
      </c>
    </row>
    <row r="71" customFormat="false" ht="15" hidden="false" customHeight="true" outlineLevel="0" collapsed="false">
      <c r="A71" s="74" t="s">
        <v>382</v>
      </c>
      <c r="B71" s="110" t="str">
        <f aca="false">Estimate!B120</f>
        <v>Backsplash - Tile</v>
      </c>
      <c r="C71" s="75" t="n">
        <f aca="false">Estimate!H120</f>
        <v>0</v>
      </c>
      <c r="D71" s="73" t="str">
        <f aca="false">Estimate!L120</f>
        <v>N</v>
      </c>
    </row>
    <row r="72" customFormat="false" ht="15" hidden="false" customHeight="true" outlineLevel="0" collapsed="false">
      <c r="A72" s="74" t="s">
        <v>215</v>
      </c>
      <c r="B72" s="110" t="str">
        <f aca="false">Estimate!B123</f>
        <v>Appliance purchase - delivery - install</v>
      </c>
      <c r="C72" s="75" t="n">
        <f aca="false">Estimate!H123</f>
        <v>0</v>
      </c>
      <c r="D72" s="73" t="str">
        <f aca="false">Estimate!L123</f>
        <v>N</v>
      </c>
    </row>
    <row r="73" customFormat="false" ht="15" hidden="false" customHeight="true" outlineLevel="0" collapsed="false">
      <c r="A73" s="74" t="s">
        <v>383</v>
      </c>
      <c r="B73" s="110" t="str">
        <f aca="false">Estimate!B125</f>
        <v>Window coverings / blinds allowance</v>
      </c>
      <c r="C73" s="75" t="n">
        <f aca="false">Estimate!H125</f>
        <v>0</v>
      </c>
      <c r="D73" s="73" t="str">
        <f aca="false">Estimate!L125</f>
        <v>N</v>
      </c>
    </row>
    <row r="74" customFormat="false" ht="15" hidden="false" customHeight="true" outlineLevel="0" collapsed="false">
      <c r="A74" s="74" t="s">
        <v>223</v>
      </c>
      <c r="B74" s="110" t="str">
        <f aca="false">Estimate!B128</f>
        <v>Final grade and rough landscaping</v>
      </c>
      <c r="C74" s="75" t="n">
        <f aca="false">Estimate!H128</f>
        <v>0</v>
      </c>
      <c r="D74" s="73" t="str">
        <f aca="false">Estimate!L128</f>
        <v>N</v>
      </c>
    </row>
    <row r="75" customFormat="false" ht="15" hidden="false" customHeight="true" outlineLevel="0" collapsed="false">
      <c r="B75" s="59" t="s">
        <v>439</v>
      </c>
      <c r="C75" s="60" t="n">
        <f aca="false">SUMIF(D6:D74,"Y",C6:C74)</f>
        <v>0</v>
      </c>
    </row>
  </sheetData>
  <mergeCells count="1">
    <mergeCell ref="A4:D4"/>
  </mergeCells>
  <conditionalFormatting sqref="A6:D74">
    <cfRule type="expression" priority="2" aboveAverage="0" equalAverage="0" bottom="0" percent="0" rank="0" text="" dxfId="7">
      <formula>$D6&lt;&gt;"Y"</formula>
    </cfRule>
  </conditionalFormatting>
  <printOptions headings="false" gridLines="false" gridLinesSet="true" horizontalCentered="true" verticalCentered="false"/>
  <pageMargins left="0.45" right="0.45" top="0.6" bottom="0.6"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&amp;LRidgeline Construction&amp;CPage &amp;P of &amp;N&amp;R&amp;D</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38"/>
    <col collapsed="false" customWidth="true" hidden="false" outlineLevel="0" max="3" min="3" style="1" width="12.5"/>
    <col collapsed="false" customWidth="true" hidden="false" outlineLevel="0" max="9" min="4" style="1" width="11"/>
    <col collapsed="false" customWidth="true" hidden="false" outlineLevel="0" max="11" min="10" style="1" width="12.5"/>
    <col collapsed="false" customWidth="true" hidden="false" outlineLevel="0" max="12" min="12" style="1" width="8.5"/>
  </cols>
  <sheetData>
    <row r="1" customFormat="false" ht="19.5" hidden="false" customHeight="true" outlineLevel="0" collapsed="false">
      <c r="C1" s="111" t="s">
        <v>440</v>
      </c>
    </row>
    <row r="2" customFormat="false" ht="15" hidden="false" customHeight="true" outlineLevel="0" collapsed="false">
      <c r="C2" s="112" t="str">
        <f aca="false">Settings!C40&amp;"   •   "&amp;Settings!C41</f>
        <v>PO Box 516, Longview, WA 98632   •   360-200-1716</v>
      </c>
    </row>
    <row r="3" customFormat="false" ht="15" hidden="false" customHeight="true" outlineLevel="0" collapsed="false">
      <c r="C3" s="112" t="str">
        <f aca="false">"Project:  "&amp;Settings!C8</f>
        <v>Project:  Truesdell SFD</v>
      </c>
    </row>
    <row r="5" customFormat="false" ht="25.5" hidden="false" customHeight="true" outlineLevel="0" collapsed="false">
      <c r="A5" s="113" t="s">
        <v>77</v>
      </c>
      <c r="B5" s="113" t="s">
        <v>227</v>
      </c>
      <c r="C5" s="113" t="s">
        <v>441</v>
      </c>
      <c r="D5" s="113" t="s">
        <v>442</v>
      </c>
      <c r="E5" s="113" t="s">
        <v>443</v>
      </c>
      <c r="F5" s="113" t="s">
        <v>444</v>
      </c>
      <c r="G5" s="113" t="s">
        <v>445</v>
      </c>
      <c r="H5" s="113" t="s">
        <v>446</v>
      </c>
      <c r="I5" s="113" t="s">
        <v>447</v>
      </c>
      <c r="J5" s="113" t="s">
        <v>448</v>
      </c>
      <c r="K5" s="113" t="s">
        <v>449</v>
      </c>
      <c r="L5" s="113" t="s">
        <v>450</v>
      </c>
    </row>
    <row r="6" customFormat="false" ht="15" hidden="false" customHeight="true" outlineLevel="0" collapsed="false">
      <c r="A6" s="114" t="s">
        <v>79</v>
      </c>
      <c r="B6" s="114" t="s">
        <v>80</v>
      </c>
      <c r="C6" s="115" t="n">
        <f aca="false">Estimate!F6</f>
        <v>0</v>
      </c>
      <c r="D6" s="116"/>
      <c r="E6" s="116"/>
      <c r="F6" s="116"/>
      <c r="G6" s="116"/>
      <c r="H6" s="116"/>
      <c r="I6" s="116"/>
      <c r="J6" s="115" t="n">
        <f aca="false">J7</f>
        <v>0</v>
      </c>
      <c r="K6" s="115" t="n">
        <f aca="false">C6-J6</f>
        <v>0</v>
      </c>
      <c r="L6" s="117" t="n">
        <f aca="false">IF(C6=0,0,J6/C6)</f>
        <v>0</v>
      </c>
    </row>
    <row r="7" customFormat="false" ht="15" hidden="false" customHeight="true" outlineLevel="0" collapsed="false">
      <c r="A7" s="118" t="s">
        <v>81</v>
      </c>
      <c r="B7" s="119" t="str">
        <f aca="false">"Permits"&amp;IF($K7="Y","   (Allowance)","")</f>
        <v>Permits</v>
      </c>
      <c r="C7" s="120" t="n">
        <f aca="false">Estimate!F7</f>
        <v>0</v>
      </c>
      <c r="D7" s="121"/>
      <c r="E7" s="121"/>
      <c r="F7" s="121"/>
      <c r="G7" s="121"/>
      <c r="H7" s="121"/>
      <c r="I7" s="121"/>
      <c r="J7" s="120" t="n">
        <v>0</v>
      </c>
      <c r="K7" s="120" t="n">
        <f aca="false">C7-J7</f>
        <v>0</v>
      </c>
      <c r="L7" s="122" t="n">
        <f aca="false">IF(C7=0,0,J7/C7)</f>
        <v>0</v>
      </c>
    </row>
    <row r="8" customFormat="false" ht="15" hidden="false" customHeight="true" outlineLevel="0" collapsed="false">
      <c r="A8" s="114"/>
      <c r="B8" s="114" t="s">
        <v>241</v>
      </c>
      <c r="C8" s="115" t="n">
        <f aca="false">Estimate!F8</f>
        <v>0</v>
      </c>
      <c r="D8" s="116"/>
      <c r="E8" s="116"/>
      <c r="F8" s="116"/>
      <c r="G8" s="116"/>
      <c r="H8" s="116"/>
      <c r="I8" s="116"/>
      <c r="J8" s="115" t="n">
        <f aca="false">J9</f>
        <v>0</v>
      </c>
      <c r="K8" s="115" t="n">
        <f aca="false">C8-J8</f>
        <v>0</v>
      </c>
      <c r="L8" s="117" t="n">
        <f aca="false">IF(C8=0,0,J8/C8)</f>
        <v>0</v>
      </c>
    </row>
    <row r="9" customFormat="false" ht="15" hidden="false" customHeight="true" outlineLevel="0" collapsed="false">
      <c r="A9" s="118" t="s">
        <v>84</v>
      </c>
      <c r="B9" s="119" t="str">
        <f aca="false">"Electrical Utility Connections"&amp;IF($K9="Y","   (Allowance)","")</f>
        <v>Electrical Utility Connections</v>
      </c>
      <c r="C9" s="120" t="n">
        <f aca="false">Estimate!F9</f>
        <v>0</v>
      </c>
      <c r="D9" s="121"/>
      <c r="E9" s="121"/>
      <c r="F9" s="121"/>
      <c r="G9" s="121"/>
      <c r="H9" s="121"/>
      <c r="I9" s="121"/>
      <c r="J9" s="120" t="n">
        <v>0</v>
      </c>
      <c r="K9" s="120" t="n">
        <f aca="false">C9-J9</f>
        <v>0</v>
      </c>
      <c r="L9" s="122" t="n">
        <f aca="false">IF(C9=0,0,J9/C9)</f>
        <v>0</v>
      </c>
    </row>
    <row r="10" customFormat="false" ht="15" hidden="false" customHeight="true" outlineLevel="0" collapsed="false">
      <c r="A10" s="114"/>
      <c r="B10" s="114" t="s">
        <v>244</v>
      </c>
      <c r="C10" s="115" t="n">
        <f aca="false">Estimate!F10</f>
        <v>0</v>
      </c>
      <c r="D10" s="116"/>
      <c r="E10" s="116"/>
      <c r="F10" s="116"/>
      <c r="G10" s="116"/>
      <c r="H10" s="116"/>
      <c r="I10" s="116"/>
      <c r="J10" s="115" t="n">
        <v>0</v>
      </c>
      <c r="K10" s="115" t="n">
        <f aca="false">C10-J10</f>
        <v>0</v>
      </c>
      <c r="L10" s="117" t="n">
        <f aca="false">IF(C10=0,0,J10/C10)</f>
        <v>0</v>
      </c>
    </row>
    <row r="11" customFormat="false" ht="15" hidden="false" customHeight="true" outlineLevel="0" collapsed="false">
      <c r="A11" s="114"/>
      <c r="B11" s="114" t="s">
        <v>245</v>
      </c>
      <c r="C11" s="115" t="n">
        <f aca="false">Estimate!F11</f>
        <v>0</v>
      </c>
      <c r="D11" s="116"/>
      <c r="E11" s="116"/>
      <c r="F11" s="116"/>
      <c r="G11" s="116"/>
      <c r="H11" s="116"/>
      <c r="I11" s="116"/>
      <c r="J11" s="115" t="n">
        <f aca="false">J12</f>
        <v>0</v>
      </c>
      <c r="K11" s="115" t="n">
        <f aca="false">C11-J11</f>
        <v>0</v>
      </c>
      <c r="L11" s="117" t="n">
        <f aca="false">IF(C11=0,0,J11/C11)</f>
        <v>0</v>
      </c>
    </row>
    <row r="12" customFormat="false" ht="15" hidden="false" customHeight="true" outlineLevel="0" collapsed="false">
      <c r="A12" s="118" t="s">
        <v>87</v>
      </c>
      <c r="B12" s="119" t="str">
        <f aca="false">"Excavation"&amp;IF($K12="Y","   (Allowance)","")</f>
        <v>Excavation</v>
      </c>
      <c r="C12" s="120" t="n">
        <f aca="false">Estimate!F12</f>
        <v>0</v>
      </c>
      <c r="D12" s="121"/>
      <c r="E12" s="121"/>
      <c r="F12" s="121"/>
      <c r="G12" s="121"/>
      <c r="H12" s="121"/>
      <c r="I12" s="121"/>
      <c r="J12" s="120" t="n">
        <v>0</v>
      </c>
      <c r="K12" s="120" t="n">
        <f aca="false">C12-J12</f>
        <v>0</v>
      </c>
      <c r="L12" s="122" t="n">
        <f aca="false">IF(C12=0,0,J12/C12)</f>
        <v>0</v>
      </c>
    </row>
    <row r="13" customFormat="false" ht="15" hidden="false" customHeight="true" outlineLevel="0" collapsed="false">
      <c r="A13" s="114"/>
      <c r="B13" s="114" t="s">
        <v>247</v>
      </c>
      <c r="C13" s="115" t="n">
        <f aca="false">Estimate!F13</f>
        <v>0</v>
      </c>
      <c r="D13" s="116"/>
      <c r="E13" s="116"/>
      <c r="F13" s="116"/>
      <c r="G13" s="116"/>
      <c r="H13" s="116"/>
      <c r="I13" s="116"/>
      <c r="J13" s="115" t="n">
        <v>0</v>
      </c>
      <c r="K13" s="115" t="n">
        <f aca="false">C13-J13</f>
        <v>0</v>
      </c>
      <c r="L13" s="117" t="n">
        <f aca="false">IF(C13=0,0,J13/C13)</f>
        <v>0</v>
      </c>
    </row>
    <row r="14" customFormat="false" ht="15" hidden="false" customHeight="true" outlineLevel="0" collapsed="false">
      <c r="A14" s="114"/>
      <c r="B14" s="114" t="s">
        <v>248</v>
      </c>
      <c r="C14" s="115" t="n">
        <f aca="false">Estimate!F14</f>
        <v>0</v>
      </c>
      <c r="D14" s="116"/>
      <c r="E14" s="116"/>
      <c r="F14" s="116"/>
      <c r="G14" s="116"/>
      <c r="H14" s="116"/>
      <c r="I14" s="116"/>
      <c r="J14" s="115" t="n">
        <v>0</v>
      </c>
      <c r="K14" s="115" t="n">
        <f aca="false">C14-J14</f>
        <v>0</v>
      </c>
      <c r="L14" s="117" t="n">
        <f aca="false">IF(C14=0,0,J14/C14)</f>
        <v>0</v>
      </c>
    </row>
    <row r="15" customFormat="false" ht="15" hidden="false" customHeight="true" outlineLevel="0" collapsed="false">
      <c r="A15" s="114"/>
      <c r="B15" s="114" t="s">
        <v>249</v>
      </c>
      <c r="C15" s="115" t="n">
        <f aca="false">Estimate!F15</f>
        <v>0</v>
      </c>
      <c r="D15" s="116"/>
      <c r="E15" s="116"/>
      <c r="F15" s="116"/>
      <c r="G15" s="116"/>
      <c r="H15" s="116"/>
      <c r="I15" s="116"/>
      <c r="J15" s="115" t="n">
        <v>0</v>
      </c>
      <c r="K15" s="115" t="n">
        <f aca="false">C15-J15</f>
        <v>0</v>
      </c>
      <c r="L15" s="117" t="n">
        <f aca="false">IF(C15=0,0,J15/C15)</f>
        <v>0</v>
      </c>
    </row>
    <row r="16" customFormat="false" ht="15" hidden="false" customHeight="true" outlineLevel="0" collapsed="false">
      <c r="A16" s="114"/>
      <c r="B16" s="114" t="s">
        <v>250</v>
      </c>
      <c r="C16" s="115" t="n">
        <f aca="false">Estimate!F16</f>
        <v>0</v>
      </c>
      <c r="D16" s="116"/>
      <c r="E16" s="116"/>
      <c r="F16" s="116"/>
      <c r="G16" s="116"/>
      <c r="H16" s="116"/>
      <c r="I16" s="116"/>
      <c r="J16" s="115" t="n">
        <f aca="false">J17</f>
        <v>0</v>
      </c>
      <c r="K16" s="115" t="n">
        <f aca="false">C16-J16</f>
        <v>0</v>
      </c>
      <c r="L16" s="117" t="n">
        <f aca="false">IF(C16=0,0,J16/C16)</f>
        <v>0</v>
      </c>
    </row>
    <row r="17" customFormat="false" ht="15" hidden="false" customHeight="true" outlineLevel="0" collapsed="false">
      <c r="A17" s="118" t="s">
        <v>90</v>
      </c>
      <c r="B17" s="119" t="str">
        <f aca="false">"Septic system design &amp; install"&amp;IF($K17="Y","   (Allowance)","")</f>
        <v>Septic system design &amp; install</v>
      </c>
      <c r="C17" s="120" t="n">
        <f aca="false">Estimate!F17</f>
        <v>0</v>
      </c>
      <c r="D17" s="121"/>
      <c r="E17" s="121"/>
      <c r="F17" s="121"/>
      <c r="G17" s="121"/>
      <c r="H17" s="121"/>
      <c r="I17" s="121"/>
      <c r="J17" s="120" t="n">
        <v>0</v>
      </c>
      <c r="K17" s="120" t="n">
        <f aca="false">C17-J17</f>
        <v>0</v>
      </c>
      <c r="L17" s="122" t="n">
        <f aca="false">IF(C17=0,0,J17/C17)</f>
        <v>0</v>
      </c>
    </row>
    <row r="18" customFormat="false" ht="15" hidden="false" customHeight="true" outlineLevel="0" collapsed="false">
      <c r="A18" s="114"/>
      <c r="B18" s="114" t="s">
        <v>251</v>
      </c>
      <c r="C18" s="115" t="n">
        <f aca="false">Estimate!F18</f>
        <v>0</v>
      </c>
      <c r="D18" s="116"/>
      <c r="E18" s="116"/>
      <c r="F18" s="116"/>
      <c r="G18" s="116"/>
      <c r="H18" s="116"/>
      <c r="I18" s="116"/>
      <c r="J18" s="115" t="n">
        <v>0</v>
      </c>
      <c r="K18" s="115" t="n">
        <f aca="false">C18-J18</f>
        <v>0</v>
      </c>
      <c r="L18" s="117" t="n">
        <f aca="false">IF(C18=0,0,J18/C18)</f>
        <v>0</v>
      </c>
    </row>
    <row r="19" customFormat="false" ht="15" hidden="false" customHeight="true" outlineLevel="0" collapsed="false">
      <c r="A19" s="114"/>
      <c r="B19" s="114" t="s">
        <v>252</v>
      </c>
      <c r="C19" s="115" t="n">
        <f aca="false">Estimate!F19</f>
        <v>0</v>
      </c>
      <c r="D19" s="116"/>
      <c r="E19" s="116"/>
      <c r="F19" s="116"/>
      <c r="G19" s="116"/>
      <c r="H19" s="116"/>
      <c r="I19" s="116"/>
      <c r="J19" s="115" t="n">
        <v>0</v>
      </c>
      <c r="K19" s="115" t="n">
        <f aca="false">C19-J19</f>
        <v>0</v>
      </c>
      <c r="L19" s="117" t="n">
        <f aca="false">IF(C19=0,0,J19/C19)</f>
        <v>0</v>
      </c>
    </row>
    <row r="20" customFormat="false" ht="15" hidden="false" customHeight="true" outlineLevel="0" collapsed="false">
      <c r="A20" s="114"/>
      <c r="B20" s="114" t="s">
        <v>253</v>
      </c>
      <c r="C20" s="115" t="n">
        <f aca="false">Estimate!F20</f>
        <v>0</v>
      </c>
      <c r="D20" s="116"/>
      <c r="E20" s="116"/>
      <c r="F20" s="116"/>
      <c r="G20" s="116"/>
      <c r="H20" s="116"/>
      <c r="I20" s="116"/>
      <c r="J20" s="115" t="n">
        <v>0</v>
      </c>
      <c r="K20" s="115" t="n">
        <f aca="false">C20-J20</f>
        <v>0</v>
      </c>
      <c r="L20" s="117" t="n">
        <f aca="false">IF(C20=0,0,J20/C20)</f>
        <v>0</v>
      </c>
    </row>
    <row r="21" customFormat="false" ht="15" hidden="false" customHeight="true" outlineLevel="0" collapsed="false">
      <c r="A21" s="114" t="s">
        <v>93</v>
      </c>
      <c r="B21" s="114" t="str">
        <f aca="false">"Well setup"&amp;IF($K21="Y","   (Allowance)","")</f>
        <v>Well setup</v>
      </c>
      <c r="C21" s="115" t="n">
        <f aca="false">Estimate!F21</f>
        <v>0</v>
      </c>
      <c r="D21" s="116"/>
      <c r="E21" s="116"/>
      <c r="F21" s="116"/>
      <c r="G21" s="116"/>
      <c r="H21" s="116"/>
      <c r="I21" s="116"/>
      <c r="J21" s="115" t="n">
        <v>0</v>
      </c>
      <c r="K21" s="115" t="n">
        <f aca="false">C21-J21</f>
        <v>0</v>
      </c>
      <c r="L21" s="117" t="n">
        <f aca="false">IF(C21=0,0,J21/C21)</f>
        <v>0</v>
      </c>
    </row>
    <row r="22" customFormat="false" ht="15" hidden="false" customHeight="true" outlineLevel="0" collapsed="false">
      <c r="A22" s="114"/>
      <c r="B22" s="114" t="s">
        <v>254</v>
      </c>
      <c r="C22" s="115" t="n">
        <f aca="false">Estimate!F22</f>
        <v>0</v>
      </c>
      <c r="D22" s="116"/>
      <c r="E22" s="116"/>
      <c r="F22" s="116"/>
      <c r="G22" s="116"/>
      <c r="H22" s="116"/>
      <c r="I22" s="116"/>
      <c r="J22" s="115" t="n">
        <v>0</v>
      </c>
      <c r="K22" s="115" t="n">
        <f aca="false">C22-J22</f>
        <v>0</v>
      </c>
      <c r="L22" s="117" t="n">
        <f aca="false">IF(C22=0,0,J22/C22)</f>
        <v>0</v>
      </c>
    </row>
    <row r="23" customFormat="false" ht="15" hidden="false" customHeight="true" outlineLevel="0" collapsed="false">
      <c r="A23" s="114" t="s">
        <v>96</v>
      </c>
      <c r="B23" s="114" t="str">
        <f aca="false">"Job site services"&amp;IF($K23="Y","   (Allowance)","")</f>
        <v>Job site services</v>
      </c>
      <c r="C23" s="115" t="n">
        <f aca="false">Estimate!F23</f>
        <v>0</v>
      </c>
      <c r="D23" s="116"/>
      <c r="E23" s="116"/>
      <c r="F23" s="116"/>
      <c r="G23" s="116"/>
      <c r="H23" s="116"/>
      <c r="I23" s="116"/>
      <c r="J23" s="115" t="n">
        <v>0</v>
      </c>
      <c r="K23" s="115" t="n">
        <f aca="false">C23-J23</f>
        <v>0</v>
      </c>
      <c r="L23" s="117" t="n">
        <f aca="false">IF(C23=0,0,J23/C23)</f>
        <v>0</v>
      </c>
    </row>
    <row r="24" customFormat="false" ht="15" hidden="false" customHeight="true" outlineLevel="0" collapsed="false">
      <c r="A24" s="114"/>
      <c r="B24" s="114" t="s">
        <v>256</v>
      </c>
      <c r="C24" s="115" t="n">
        <f aca="false">Estimate!F24</f>
        <v>0</v>
      </c>
      <c r="D24" s="116"/>
      <c r="E24" s="116"/>
      <c r="F24" s="116"/>
      <c r="G24" s="116"/>
      <c r="H24" s="116"/>
      <c r="I24" s="116"/>
      <c r="J24" s="115" t="n">
        <v>0</v>
      </c>
      <c r="K24" s="115" t="n">
        <f aca="false">C24-J24</f>
        <v>0</v>
      </c>
      <c r="L24" s="117" t="n">
        <f aca="false">IF(C24=0,0,J24/C24)</f>
        <v>0</v>
      </c>
    </row>
    <row r="25" customFormat="false" ht="15" hidden="false" customHeight="true" outlineLevel="0" collapsed="false">
      <c r="A25" s="114"/>
      <c r="B25" s="114" t="s">
        <v>257</v>
      </c>
      <c r="C25" s="115" t="n">
        <f aca="false">Estimate!F25</f>
        <v>0</v>
      </c>
      <c r="D25" s="116"/>
      <c r="E25" s="116"/>
      <c r="F25" s="116"/>
      <c r="G25" s="116"/>
      <c r="H25" s="116"/>
      <c r="I25" s="116"/>
      <c r="J25" s="115" t="n">
        <v>0</v>
      </c>
      <c r="K25" s="115" t="n">
        <f aca="false">C25-J25</f>
        <v>0</v>
      </c>
      <c r="L25" s="117" t="n">
        <f aca="false">IF(C25=0,0,J25/C25)</f>
        <v>0</v>
      </c>
    </row>
    <row r="26" customFormat="false" ht="15" hidden="false" customHeight="true" outlineLevel="0" collapsed="false">
      <c r="A26" s="114"/>
      <c r="B26" s="114" t="s">
        <v>258</v>
      </c>
      <c r="C26" s="115" t="n">
        <f aca="false">Estimate!F26</f>
        <v>0</v>
      </c>
      <c r="D26" s="116"/>
      <c r="E26" s="116"/>
      <c r="F26" s="116"/>
      <c r="G26" s="116"/>
      <c r="H26" s="116"/>
      <c r="I26" s="116"/>
      <c r="J26" s="115" t="n">
        <v>0</v>
      </c>
      <c r="K26" s="115" t="n">
        <f aca="false">C26-J26</f>
        <v>0</v>
      </c>
      <c r="L26" s="117" t="n">
        <f aca="false">IF(C26=0,0,J26/C26)</f>
        <v>0</v>
      </c>
    </row>
    <row r="27" customFormat="false" ht="15" hidden="false" customHeight="true" outlineLevel="0" collapsed="false">
      <c r="A27" s="114" t="s">
        <v>99</v>
      </c>
      <c r="B27" s="114" t="s">
        <v>100</v>
      </c>
      <c r="C27" s="115" t="n">
        <f aca="false">Estimate!F27</f>
        <v>0</v>
      </c>
      <c r="D27" s="116"/>
      <c r="E27" s="116"/>
      <c r="F27" s="116"/>
      <c r="G27" s="116"/>
      <c r="H27" s="116"/>
      <c r="I27" s="116"/>
      <c r="J27" s="115" t="n">
        <f aca="false">J28</f>
        <v>0</v>
      </c>
      <c r="K27" s="115" t="n">
        <f aca="false">C27-J27</f>
        <v>0</v>
      </c>
      <c r="L27" s="117" t="n">
        <f aca="false">IF(C27=0,0,J27/C27)</f>
        <v>0</v>
      </c>
    </row>
    <row r="28" customFormat="false" ht="15" hidden="false" customHeight="true" outlineLevel="0" collapsed="false">
      <c r="A28" s="118" t="s">
        <v>101</v>
      </c>
      <c r="B28" s="119" t="str">
        <f aca="false">"Footing And Foundation"&amp;IF($K28="Y","   (Allowance)","")</f>
        <v>Footing And Foundation</v>
      </c>
      <c r="C28" s="120" t="n">
        <f aca="false">Estimate!F28</f>
        <v>0</v>
      </c>
      <c r="D28" s="121"/>
      <c r="E28" s="121"/>
      <c r="F28" s="121"/>
      <c r="G28" s="121"/>
      <c r="H28" s="121"/>
      <c r="I28" s="121"/>
      <c r="J28" s="120" t="n">
        <v>0</v>
      </c>
      <c r="K28" s="120" t="n">
        <f aca="false">C28-J28</f>
        <v>0</v>
      </c>
      <c r="L28" s="122" t="n">
        <f aca="false">IF(C28=0,0,J28/C28)</f>
        <v>0</v>
      </c>
    </row>
    <row r="29" customFormat="false" ht="15" hidden="false" customHeight="true" outlineLevel="0" collapsed="false">
      <c r="A29" s="114"/>
      <c r="B29" s="114" t="s">
        <v>259</v>
      </c>
      <c r="C29" s="115" t="n">
        <f aca="false">Estimate!F29</f>
        <v>0</v>
      </c>
      <c r="D29" s="116"/>
      <c r="E29" s="116"/>
      <c r="F29" s="116"/>
      <c r="G29" s="116"/>
      <c r="H29" s="116"/>
      <c r="I29" s="116"/>
      <c r="J29" s="115" t="n">
        <v>0</v>
      </c>
      <c r="K29" s="115" t="n">
        <f aca="false">C29-J29</f>
        <v>0</v>
      </c>
      <c r="L29" s="117" t="n">
        <f aca="false">IF(C29=0,0,J29/C29)</f>
        <v>0</v>
      </c>
    </row>
    <row r="30" customFormat="false" ht="15" hidden="false" customHeight="true" outlineLevel="0" collapsed="false">
      <c r="A30" s="114"/>
      <c r="B30" s="114" t="s">
        <v>261</v>
      </c>
      <c r="C30" s="115" t="n">
        <f aca="false">Estimate!F30</f>
        <v>0</v>
      </c>
      <c r="D30" s="116"/>
      <c r="E30" s="116"/>
      <c r="F30" s="116"/>
      <c r="G30" s="116"/>
      <c r="H30" s="116"/>
      <c r="I30" s="116"/>
      <c r="J30" s="115" t="n">
        <v>0</v>
      </c>
      <c r="K30" s="115" t="n">
        <f aca="false">C30-J30</f>
        <v>0</v>
      </c>
      <c r="L30" s="117" t="n">
        <f aca="false">IF(C30=0,0,J30/C30)</f>
        <v>0</v>
      </c>
    </row>
    <row r="31" customFormat="false" ht="15" hidden="false" customHeight="true" outlineLevel="0" collapsed="false">
      <c r="A31" s="114" t="s">
        <v>104</v>
      </c>
      <c r="B31" s="114" t="s">
        <v>105</v>
      </c>
      <c r="C31" s="115" t="n">
        <f aca="false">Estimate!F31</f>
        <v>0</v>
      </c>
      <c r="D31" s="116"/>
      <c r="E31" s="116"/>
      <c r="F31" s="116"/>
      <c r="G31" s="116"/>
      <c r="H31" s="116"/>
      <c r="I31" s="116"/>
      <c r="J31" s="115" t="n">
        <f aca="false">J32</f>
        <v>0</v>
      </c>
      <c r="K31" s="115" t="n">
        <f aca="false">C31-J31</f>
        <v>0</v>
      </c>
      <c r="L31" s="117" t="n">
        <f aca="false">IF(C31=0,0,J31/C31)</f>
        <v>0</v>
      </c>
    </row>
    <row r="32" customFormat="false" ht="15" hidden="false" customHeight="true" outlineLevel="0" collapsed="false">
      <c r="A32" s="118" t="s">
        <v>106</v>
      </c>
      <c r="B32" s="119" t="str">
        <f aca="false">"Framing Materials"&amp;IF($K32="Y","   (Allowance)","")</f>
        <v>Framing Materials</v>
      </c>
      <c r="C32" s="120" t="n">
        <f aca="false">Estimate!F32</f>
        <v>0</v>
      </c>
      <c r="D32" s="121"/>
      <c r="E32" s="121"/>
      <c r="F32" s="121"/>
      <c r="G32" s="121"/>
      <c r="H32" s="121"/>
      <c r="I32" s="121"/>
      <c r="J32" s="120" t="n">
        <v>0</v>
      </c>
      <c r="K32" s="120" t="n">
        <f aca="false">C32-J32</f>
        <v>0</v>
      </c>
      <c r="L32" s="122" t="n">
        <f aca="false">IF(C32=0,0,J32/C32)</f>
        <v>0</v>
      </c>
    </row>
    <row r="33" customFormat="false" ht="15" hidden="false" customHeight="true" outlineLevel="0" collapsed="false">
      <c r="A33" s="114"/>
      <c r="B33" s="114" t="s">
        <v>262</v>
      </c>
      <c r="C33" s="115" t="n">
        <f aca="false">Estimate!F33</f>
        <v>0</v>
      </c>
      <c r="D33" s="116"/>
      <c r="E33" s="116"/>
      <c r="F33" s="116"/>
      <c r="G33" s="116"/>
      <c r="H33" s="116"/>
      <c r="I33" s="116"/>
      <c r="J33" s="115" t="n">
        <v>0</v>
      </c>
      <c r="K33" s="115" t="n">
        <f aca="false">C33-J33</f>
        <v>0</v>
      </c>
      <c r="L33" s="117" t="n">
        <f aca="false">IF(C33=0,0,J33/C33)</f>
        <v>0</v>
      </c>
    </row>
    <row r="34" customFormat="false" ht="15" hidden="false" customHeight="true" outlineLevel="0" collapsed="false">
      <c r="A34" s="114"/>
      <c r="B34" s="114" t="s">
        <v>264</v>
      </c>
      <c r="C34" s="115" t="n">
        <f aca="false">Estimate!F34</f>
        <v>0</v>
      </c>
      <c r="D34" s="116"/>
      <c r="E34" s="116"/>
      <c r="F34" s="116"/>
      <c r="G34" s="116"/>
      <c r="H34" s="116"/>
      <c r="I34" s="116"/>
      <c r="J34" s="115" t="n">
        <v>0</v>
      </c>
      <c r="K34" s="115" t="n">
        <f aca="false">C34-J34</f>
        <v>0</v>
      </c>
      <c r="L34" s="117" t="n">
        <f aca="false">IF(C34=0,0,J34/C34)</f>
        <v>0</v>
      </c>
    </row>
    <row r="35" customFormat="false" ht="15" hidden="false" customHeight="true" outlineLevel="0" collapsed="false">
      <c r="A35" s="114"/>
      <c r="B35" s="114" t="s">
        <v>266</v>
      </c>
      <c r="C35" s="115" t="n">
        <f aca="false">Estimate!F35</f>
        <v>0</v>
      </c>
      <c r="D35" s="116"/>
      <c r="E35" s="116"/>
      <c r="F35" s="116"/>
      <c r="G35" s="116"/>
      <c r="H35" s="116"/>
      <c r="I35" s="116"/>
      <c r="J35" s="115" t="n">
        <v>0</v>
      </c>
      <c r="K35" s="115" t="n">
        <f aca="false">C35-J35</f>
        <v>0</v>
      </c>
      <c r="L35" s="117" t="n">
        <f aca="false">IF(C35=0,0,J35/C35)</f>
        <v>0</v>
      </c>
    </row>
    <row r="36" customFormat="false" ht="15" hidden="false" customHeight="true" outlineLevel="0" collapsed="false">
      <c r="A36" s="114"/>
      <c r="B36" s="114" t="s">
        <v>268</v>
      </c>
      <c r="C36" s="115" t="n">
        <f aca="false">Estimate!F36</f>
        <v>0</v>
      </c>
      <c r="D36" s="116"/>
      <c r="E36" s="116"/>
      <c r="F36" s="116"/>
      <c r="G36" s="116"/>
      <c r="H36" s="116"/>
      <c r="I36" s="116"/>
      <c r="J36" s="115" t="n">
        <v>0</v>
      </c>
      <c r="K36" s="115" t="n">
        <f aca="false">C36-J36</f>
        <v>0</v>
      </c>
      <c r="L36" s="117" t="n">
        <f aca="false">IF(C36=0,0,J36/C36)</f>
        <v>0</v>
      </c>
    </row>
    <row r="37" customFormat="false" ht="15" hidden="false" customHeight="true" outlineLevel="0" collapsed="false">
      <c r="A37" s="114"/>
      <c r="B37" s="114" t="s">
        <v>269</v>
      </c>
      <c r="C37" s="115" t="n">
        <f aca="false">Estimate!F37</f>
        <v>0</v>
      </c>
      <c r="D37" s="116"/>
      <c r="E37" s="116"/>
      <c r="F37" s="116"/>
      <c r="G37" s="116"/>
      <c r="H37" s="116"/>
      <c r="I37" s="116"/>
      <c r="J37" s="115" t="n">
        <f aca="false">J38</f>
        <v>0</v>
      </c>
      <c r="K37" s="115" t="n">
        <f aca="false">C37-J37</f>
        <v>0</v>
      </c>
      <c r="L37" s="117" t="n">
        <f aca="false">IF(C37=0,0,J37/C37)</f>
        <v>0</v>
      </c>
    </row>
    <row r="38" customFormat="false" ht="15" hidden="false" customHeight="true" outlineLevel="0" collapsed="false">
      <c r="A38" s="118" t="s">
        <v>109</v>
      </c>
      <c r="B38" s="119" t="str">
        <f aca="false">"Framing Labor"&amp;IF($K38="Y","   (Allowance)","")</f>
        <v>Framing Labor</v>
      </c>
      <c r="C38" s="120" t="n">
        <f aca="false">Estimate!F38</f>
        <v>0</v>
      </c>
      <c r="D38" s="121"/>
      <c r="E38" s="121"/>
      <c r="F38" s="121"/>
      <c r="G38" s="121"/>
      <c r="H38" s="121"/>
      <c r="I38" s="121"/>
      <c r="J38" s="120" t="n">
        <v>0</v>
      </c>
      <c r="K38" s="120" t="n">
        <f aca="false">C38-J38</f>
        <v>0</v>
      </c>
      <c r="L38" s="122" t="n">
        <f aca="false">IF(C38=0,0,J38/C38)</f>
        <v>0</v>
      </c>
    </row>
    <row r="39" customFormat="false" ht="15" hidden="false" customHeight="true" outlineLevel="0" collapsed="false">
      <c r="A39" s="114"/>
      <c r="B39" s="114" t="s">
        <v>270</v>
      </c>
      <c r="C39" s="115" t="n">
        <f aca="false">Estimate!F39</f>
        <v>0</v>
      </c>
      <c r="D39" s="116"/>
      <c r="E39" s="116"/>
      <c r="F39" s="116"/>
      <c r="G39" s="116"/>
      <c r="H39" s="116"/>
      <c r="I39" s="116"/>
      <c r="J39" s="115" t="n">
        <v>0</v>
      </c>
      <c r="K39" s="115" t="n">
        <f aca="false">C39-J39</f>
        <v>0</v>
      </c>
      <c r="L39" s="117" t="n">
        <f aca="false">IF(C39=0,0,J39/C39)</f>
        <v>0</v>
      </c>
    </row>
    <row r="40" customFormat="false" ht="15" hidden="false" customHeight="true" outlineLevel="0" collapsed="false">
      <c r="A40" s="114"/>
      <c r="B40" s="114" t="s">
        <v>272</v>
      </c>
      <c r="C40" s="115" t="n">
        <f aca="false">Estimate!F40</f>
        <v>0</v>
      </c>
      <c r="D40" s="116"/>
      <c r="E40" s="116"/>
      <c r="F40" s="116"/>
      <c r="G40" s="116"/>
      <c r="H40" s="116"/>
      <c r="I40" s="116"/>
      <c r="J40" s="115" t="n">
        <v>0</v>
      </c>
      <c r="K40" s="115" t="n">
        <f aca="false">C40-J40</f>
        <v>0</v>
      </c>
      <c r="L40" s="117" t="n">
        <f aca="false">IF(C40=0,0,J40/C40)</f>
        <v>0</v>
      </c>
    </row>
    <row r="41" customFormat="false" ht="15" hidden="false" customHeight="true" outlineLevel="0" collapsed="false">
      <c r="A41" s="114" t="s">
        <v>112</v>
      </c>
      <c r="B41" s="114" t="s">
        <v>113</v>
      </c>
      <c r="C41" s="115" t="n">
        <f aca="false">Estimate!F41</f>
        <v>0</v>
      </c>
      <c r="D41" s="116"/>
      <c r="E41" s="116"/>
      <c r="F41" s="116"/>
      <c r="G41" s="116"/>
      <c r="H41" s="116"/>
      <c r="I41" s="116"/>
      <c r="J41" s="115" t="n">
        <f aca="false">J42</f>
        <v>0</v>
      </c>
      <c r="K41" s="115" t="n">
        <f aca="false">C41-J41</f>
        <v>0</v>
      </c>
      <c r="L41" s="117" t="n">
        <f aca="false">IF(C41=0,0,J41/C41)</f>
        <v>0</v>
      </c>
    </row>
    <row r="42" customFormat="false" ht="15" hidden="false" customHeight="true" outlineLevel="0" collapsed="false">
      <c r="A42" s="118" t="s">
        <v>114</v>
      </c>
      <c r="B42" s="119" t="str">
        <f aca="false">"Front Door"&amp;IF($K42="Y","   (Allowance)","")</f>
        <v>Front Door</v>
      </c>
      <c r="C42" s="120" t="n">
        <f aca="false">Estimate!F42</f>
        <v>0</v>
      </c>
      <c r="D42" s="121"/>
      <c r="E42" s="121"/>
      <c r="F42" s="121"/>
      <c r="G42" s="121"/>
      <c r="H42" s="121"/>
      <c r="I42" s="121"/>
      <c r="J42" s="120" t="n">
        <v>0</v>
      </c>
      <c r="K42" s="120" t="n">
        <f aca="false">C42-J42</f>
        <v>0</v>
      </c>
      <c r="L42" s="122" t="n">
        <f aca="false">IF(C42=0,0,J42/C42)</f>
        <v>0</v>
      </c>
    </row>
    <row r="43" customFormat="false" ht="15" hidden="false" customHeight="true" outlineLevel="0" collapsed="false">
      <c r="A43" s="114"/>
      <c r="B43" s="114" t="s">
        <v>274</v>
      </c>
      <c r="C43" s="115" t="n">
        <f aca="false">Estimate!F43</f>
        <v>0</v>
      </c>
      <c r="D43" s="116"/>
      <c r="E43" s="116"/>
      <c r="F43" s="116"/>
      <c r="G43" s="116"/>
      <c r="H43" s="116"/>
      <c r="I43" s="116"/>
      <c r="J43" s="115" t="n">
        <f aca="false">J44</f>
        <v>0</v>
      </c>
      <c r="K43" s="115" t="n">
        <f aca="false">C43-J43</f>
        <v>0</v>
      </c>
      <c r="L43" s="117" t="n">
        <f aca="false">IF(C43=0,0,J43/C43)</f>
        <v>0</v>
      </c>
    </row>
    <row r="44" customFormat="false" ht="15" hidden="false" customHeight="true" outlineLevel="0" collapsed="false">
      <c r="A44" s="118" t="s">
        <v>117</v>
      </c>
      <c r="B44" s="119" t="str">
        <f aca="false">"Other exterior doors"&amp;IF($K44="Y","   (Allowance)","")</f>
        <v>Other exterior doors</v>
      </c>
      <c r="C44" s="120" t="n">
        <f aca="false">Estimate!F44</f>
        <v>0</v>
      </c>
      <c r="D44" s="121"/>
      <c r="E44" s="121"/>
      <c r="F44" s="121"/>
      <c r="G44" s="121"/>
      <c r="H44" s="121"/>
      <c r="I44" s="121"/>
      <c r="J44" s="120" t="n">
        <v>0</v>
      </c>
      <c r="K44" s="120" t="n">
        <f aca="false">C44-J44</f>
        <v>0</v>
      </c>
      <c r="L44" s="122" t="n">
        <f aca="false">IF(C44=0,0,J44/C44)</f>
        <v>0</v>
      </c>
    </row>
    <row r="45" customFormat="false" ht="15" hidden="false" customHeight="true" outlineLevel="0" collapsed="false">
      <c r="A45" s="114"/>
      <c r="B45" s="114" t="s">
        <v>275</v>
      </c>
      <c r="C45" s="115" t="n">
        <f aca="false">Estimate!F45</f>
        <v>0</v>
      </c>
      <c r="D45" s="116"/>
      <c r="E45" s="116"/>
      <c r="F45" s="116"/>
      <c r="G45" s="116"/>
      <c r="H45" s="116"/>
      <c r="I45" s="116"/>
      <c r="J45" s="115" t="n">
        <f aca="false">J46</f>
        <v>0</v>
      </c>
      <c r="K45" s="115" t="n">
        <f aca="false">C45-J45</f>
        <v>0</v>
      </c>
      <c r="L45" s="117" t="n">
        <f aca="false">IF(C45=0,0,J45/C45)</f>
        <v>0</v>
      </c>
    </row>
    <row r="46" customFormat="false" ht="15" hidden="false" customHeight="true" outlineLevel="0" collapsed="false">
      <c r="A46" s="118" t="s">
        <v>120</v>
      </c>
      <c r="B46" s="119" t="str">
        <f aca="false">"Garage Doors"&amp;IF($K46="Y","   (Allowance)","")</f>
        <v>Garage Doors</v>
      </c>
      <c r="C46" s="120" t="n">
        <f aca="false">Estimate!F46</f>
        <v>0</v>
      </c>
      <c r="D46" s="121"/>
      <c r="E46" s="121"/>
      <c r="F46" s="121"/>
      <c r="G46" s="121"/>
      <c r="H46" s="121"/>
      <c r="I46" s="121"/>
      <c r="J46" s="120" t="n">
        <v>0</v>
      </c>
      <c r="K46" s="120" t="n">
        <f aca="false">C46-J46</f>
        <v>0</v>
      </c>
      <c r="L46" s="122" t="n">
        <f aca="false">IF(C46=0,0,J46/C46)</f>
        <v>0</v>
      </c>
    </row>
    <row r="47" customFormat="false" ht="15" hidden="false" customHeight="true" outlineLevel="0" collapsed="false">
      <c r="A47" s="114"/>
      <c r="B47" s="114" t="s">
        <v>277</v>
      </c>
      <c r="C47" s="115" t="n">
        <f aca="false">Estimate!F47</f>
        <v>0</v>
      </c>
      <c r="D47" s="116"/>
      <c r="E47" s="116"/>
      <c r="F47" s="116"/>
      <c r="G47" s="116"/>
      <c r="H47" s="116"/>
      <c r="I47" s="116"/>
      <c r="J47" s="115" t="n">
        <v>0</v>
      </c>
      <c r="K47" s="115" t="n">
        <f aca="false">C47-J47</f>
        <v>0</v>
      </c>
      <c r="L47" s="117" t="n">
        <f aca="false">IF(C47=0,0,J47/C47)</f>
        <v>0</v>
      </c>
    </row>
    <row r="48" customFormat="false" ht="15" hidden="false" customHeight="true" outlineLevel="0" collapsed="false">
      <c r="A48" s="114"/>
      <c r="B48" s="114" t="s">
        <v>279</v>
      </c>
      <c r="C48" s="115" t="n">
        <f aca="false">Estimate!F48</f>
        <v>0</v>
      </c>
      <c r="D48" s="116"/>
      <c r="E48" s="116"/>
      <c r="F48" s="116"/>
      <c r="G48" s="116"/>
      <c r="H48" s="116"/>
      <c r="I48" s="116"/>
      <c r="J48" s="115" t="n">
        <f aca="false">J49</f>
        <v>0</v>
      </c>
      <c r="K48" s="115" t="n">
        <f aca="false">C48-J48</f>
        <v>0</v>
      </c>
      <c r="L48" s="117" t="n">
        <f aca="false">IF(C48=0,0,J48/C48)</f>
        <v>0</v>
      </c>
    </row>
    <row r="49" customFormat="false" ht="15" hidden="false" customHeight="true" outlineLevel="0" collapsed="false">
      <c r="A49" s="118" t="s">
        <v>123</v>
      </c>
      <c r="B49" s="119" t="str">
        <f aca="false">"Windows"&amp;IF($K49="Y","   (Allowance)","")</f>
        <v>Windows</v>
      </c>
      <c r="C49" s="120" t="n">
        <f aca="false">Estimate!F49</f>
        <v>0</v>
      </c>
      <c r="D49" s="121"/>
      <c r="E49" s="121"/>
      <c r="F49" s="121"/>
      <c r="G49" s="121"/>
      <c r="H49" s="121"/>
      <c r="I49" s="121"/>
      <c r="J49" s="120" t="n">
        <v>0</v>
      </c>
      <c r="K49" s="120" t="n">
        <f aca="false">C49-J49</f>
        <v>0</v>
      </c>
      <c r="L49" s="122" t="n">
        <f aca="false">IF(C49=0,0,J49/C49)</f>
        <v>0</v>
      </c>
    </row>
    <row r="50" customFormat="false" ht="15" hidden="false" customHeight="true" outlineLevel="0" collapsed="false">
      <c r="A50" s="114"/>
      <c r="B50" s="114" t="s">
        <v>281</v>
      </c>
      <c r="C50" s="115" t="n">
        <f aca="false">Estimate!F50</f>
        <v>0</v>
      </c>
      <c r="D50" s="116"/>
      <c r="E50" s="116"/>
      <c r="F50" s="116"/>
      <c r="G50" s="116"/>
      <c r="H50" s="116"/>
      <c r="I50" s="116"/>
      <c r="J50" s="115" t="n">
        <v>0</v>
      </c>
      <c r="K50" s="115" t="n">
        <f aca="false">C50-J50</f>
        <v>0</v>
      </c>
      <c r="L50" s="117" t="n">
        <f aca="false">IF(C50=0,0,J50/C50)</f>
        <v>0</v>
      </c>
    </row>
    <row r="51" customFormat="false" ht="15" hidden="false" customHeight="true" outlineLevel="0" collapsed="false">
      <c r="A51" s="114"/>
      <c r="B51" s="114" t="s">
        <v>283</v>
      </c>
      <c r="C51" s="115" t="n">
        <f aca="false">Estimate!F51</f>
        <v>0</v>
      </c>
      <c r="D51" s="116"/>
      <c r="E51" s="116"/>
      <c r="F51" s="116"/>
      <c r="G51" s="116"/>
      <c r="H51" s="116"/>
      <c r="I51" s="116"/>
      <c r="J51" s="115" t="n">
        <v>0</v>
      </c>
      <c r="K51" s="115" t="n">
        <f aca="false">C51-J51</f>
        <v>0</v>
      </c>
      <c r="L51" s="117" t="n">
        <f aca="false">IF(C51=0,0,J51/C51)</f>
        <v>0</v>
      </c>
    </row>
    <row r="52" customFormat="false" ht="15" hidden="false" customHeight="true" outlineLevel="0" collapsed="false">
      <c r="A52" s="114" t="s">
        <v>126</v>
      </c>
      <c r="B52" s="114" t="s">
        <v>127</v>
      </c>
      <c r="C52" s="115" t="n">
        <f aca="false">Estimate!F52</f>
        <v>0</v>
      </c>
      <c r="D52" s="116"/>
      <c r="E52" s="116"/>
      <c r="F52" s="116"/>
      <c r="G52" s="116"/>
      <c r="H52" s="116"/>
      <c r="I52" s="116"/>
      <c r="J52" s="115" t="n">
        <f aca="false">J53</f>
        <v>0</v>
      </c>
      <c r="K52" s="115" t="n">
        <f aca="false">C52-J52</f>
        <v>0</v>
      </c>
      <c r="L52" s="117" t="n">
        <f aca="false">IF(C52=0,0,J52/C52)</f>
        <v>0</v>
      </c>
    </row>
    <row r="53" customFormat="false" ht="15" hidden="false" customHeight="true" outlineLevel="0" collapsed="false">
      <c r="A53" s="118" t="s">
        <v>128</v>
      </c>
      <c r="B53" s="119" t="str">
        <f aca="false">"Siding Materials"&amp;IF($K53="Y","   (Allowance)","")</f>
        <v>Siding Materials</v>
      </c>
      <c r="C53" s="120" t="n">
        <f aca="false">Estimate!F53</f>
        <v>0</v>
      </c>
      <c r="D53" s="121"/>
      <c r="E53" s="121"/>
      <c r="F53" s="121"/>
      <c r="G53" s="121"/>
      <c r="H53" s="121"/>
      <c r="I53" s="121"/>
      <c r="J53" s="120" t="n">
        <v>0</v>
      </c>
      <c r="K53" s="120" t="n">
        <f aca="false">C53-J53</f>
        <v>0</v>
      </c>
      <c r="L53" s="122" t="n">
        <f aca="false">IF(C53=0,0,J53/C53)</f>
        <v>0</v>
      </c>
    </row>
    <row r="54" customFormat="false" ht="15" hidden="false" customHeight="true" outlineLevel="0" collapsed="false">
      <c r="A54" s="114"/>
      <c r="B54" s="114" t="s">
        <v>285</v>
      </c>
      <c r="C54" s="115" t="n">
        <f aca="false">Estimate!F54</f>
        <v>0</v>
      </c>
      <c r="D54" s="116"/>
      <c r="E54" s="116"/>
      <c r="F54" s="116"/>
      <c r="G54" s="116"/>
      <c r="H54" s="116"/>
      <c r="I54" s="116"/>
      <c r="J54" s="115" t="n">
        <f aca="false">J55</f>
        <v>0</v>
      </c>
      <c r="K54" s="115" t="n">
        <f aca="false">C54-J54</f>
        <v>0</v>
      </c>
      <c r="L54" s="117" t="n">
        <f aca="false">IF(C54=0,0,J54/C54)</f>
        <v>0</v>
      </c>
    </row>
    <row r="55" customFormat="false" ht="15" hidden="false" customHeight="true" outlineLevel="0" collapsed="false">
      <c r="A55" s="118" t="s">
        <v>131</v>
      </c>
      <c r="B55" s="119" t="str">
        <f aca="false">"Siding Labor"&amp;IF($K55="Y","   (Allowance)","")</f>
        <v>Siding Labor</v>
      </c>
      <c r="C55" s="120" t="n">
        <f aca="false">Estimate!F55</f>
        <v>0</v>
      </c>
      <c r="D55" s="121"/>
      <c r="E55" s="121"/>
      <c r="F55" s="121"/>
      <c r="G55" s="121"/>
      <c r="H55" s="121"/>
      <c r="I55" s="121"/>
      <c r="J55" s="120" t="n">
        <v>0</v>
      </c>
      <c r="K55" s="120" t="n">
        <f aca="false">C55-J55</f>
        <v>0</v>
      </c>
      <c r="L55" s="122" t="n">
        <f aca="false">IF(C55=0,0,J55/C55)</f>
        <v>0</v>
      </c>
    </row>
    <row r="56" customFormat="false" ht="15" hidden="false" customHeight="true" outlineLevel="0" collapsed="false">
      <c r="A56" s="114"/>
      <c r="B56" s="114" t="s">
        <v>287</v>
      </c>
      <c r="C56" s="115" t="n">
        <f aca="false">Estimate!F56</f>
        <v>0</v>
      </c>
      <c r="D56" s="116"/>
      <c r="E56" s="116"/>
      <c r="F56" s="116"/>
      <c r="G56" s="116"/>
      <c r="H56" s="116"/>
      <c r="I56" s="116"/>
      <c r="J56" s="115" t="n">
        <v>0</v>
      </c>
      <c r="K56" s="115" t="n">
        <f aca="false">C56-J56</f>
        <v>0</v>
      </c>
      <c r="L56" s="117" t="n">
        <f aca="false">IF(C56=0,0,J56/C56)</f>
        <v>0</v>
      </c>
    </row>
    <row r="57" customFormat="false" ht="15" hidden="false" customHeight="true" outlineLevel="0" collapsed="false">
      <c r="A57" s="114"/>
      <c r="B57" s="114" t="s">
        <v>289</v>
      </c>
      <c r="C57" s="115" t="n">
        <f aca="false">Estimate!F57</f>
        <v>0</v>
      </c>
      <c r="D57" s="116"/>
      <c r="E57" s="116"/>
      <c r="F57" s="116"/>
      <c r="G57" s="116"/>
      <c r="H57" s="116"/>
      <c r="I57" s="116"/>
      <c r="J57" s="115" t="n">
        <v>0</v>
      </c>
      <c r="K57" s="115" t="n">
        <f aca="false">C57-J57</f>
        <v>0</v>
      </c>
      <c r="L57" s="117" t="n">
        <f aca="false">IF(C57=0,0,J57/C57)</f>
        <v>0</v>
      </c>
    </row>
    <row r="58" customFormat="false" ht="15" hidden="false" customHeight="true" outlineLevel="0" collapsed="false">
      <c r="A58" s="114"/>
      <c r="B58" s="114" t="s">
        <v>290</v>
      </c>
      <c r="C58" s="115" t="n">
        <f aca="false">Estimate!F58</f>
        <v>0</v>
      </c>
      <c r="D58" s="116"/>
      <c r="E58" s="116"/>
      <c r="F58" s="116"/>
      <c r="G58" s="116"/>
      <c r="H58" s="116"/>
      <c r="I58" s="116"/>
      <c r="J58" s="115" t="n">
        <f aca="false">J59</f>
        <v>0</v>
      </c>
      <c r="K58" s="115" t="n">
        <f aca="false">C58-J58</f>
        <v>0</v>
      </c>
      <c r="L58" s="117" t="n">
        <f aca="false">IF(C58=0,0,J58/C58)</f>
        <v>0</v>
      </c>
    </row>
    <row r="59" customFormat="false" ht="15" hidden="false" customHeight="true" outlineLevel="0" collapsed="false">
      <c r="A59" s="118" t="s">
        <v>134</v>
      </c>
      <c r="B59" s="119" t="str">
        <f aca="false">"Roofing Specifications"&amp;IF($K59="Y","   (Allowance)","")</f>
        <v>Roofing Specifications</v>
      </c>
      <c r="C59" s="120" t="n">
        <f aca="false">Estimate!F59</f>
        <v>0</v>
      </c>
      <c r="D59" s="121"/>
      <c r="E59" s="121"/>
      <c r="F59" s="121"/>
      <c r="G59" s="121"/>
      <c r="H59" s="121"/>
      <c r="I59" s="121"/>
      <c r="J59" s="120" t="n">
        <v>0</v>
      </c>
      <c r="K59" s="120" t="n">
        <f aca="false">C59-J59</f>
        <v>0</v>
      </c>
      <c r="L59" s="122" t="n">
        <f aca="false">IF(C59=0,0,J59/C59)</f>
        <v>0</v>
      </c>
    </row>
    <row r="60" customFormat="false" ht="15" hidden="false" customHeight="true" outlineLevel="0" collapsed="false">
      <c r="A60" s="114"/>
      <c r="B60" s="114" t="s">
        <v>291</v>
      </c>
      <c r="C60" s="115" t="n">
        <f aca="false">Estimate!F60</f>
        <v>0</v>
      </c>
      <c r="D60" s="116"/>
      <c r="E60" s="116"/>
      <c r="F60" s="116"/>
      <c r="G60" s="116"/>
      <c r="H60" s="116"/>
      <c r="I60" s="116"/>
      <c r="J60" s="115" t="n">
        <v>0</v>
      </c>
      <c r="K60" s="115" t="n">
        <f aca="false">C60-J60</f>
        <v>0</v>
      </c>
      <c r="L60" s="117" t="n">
        <f aca="false">IF(C60=0,0,J60/C60)</f>
        <v>0</v>
      </c>
    </row>
    <row r="61" customFormat="false" ht="15" hidden="false" customHeight="true" outlineLevel="0" collapsed="false">
      <c r="A61" s="114"/>
      <c r="B61" s="114" t="s">
        <v>293</v>
      </c>
      <c r="C61" s="115" t="n">
        <f aca="false">Estimate!F61</f>
        <v>0</v>
      </c>
      <c r="D61" s="116"/>
      <c r="E61" s="116"/>
      <c r="F61" s="116"/>
      <c r="G61" s="116"/>
      <c r="H61" s="116"/>
      <c r="I61" s="116"/>
      <c r="J61" s="115" t="n">
        <f aca="false">J62</f>
        <v>0</v>
      </c>
      <c r="K61" s="115" t="n">
        <f aca="false">C61-J61</f>
        <v>0</v>
      </c>
      <c r="L61" s="117" t="n">
        <f aca="false">IF(C61=0,0,J61/C61)</f>
        <v>0</v>
      </c>
    </row>
    <row r="62" customFormat="false" ht="15" hidden="false" customHeight="true" outlineLevel="0" collapsed="false">
      <c r="A62" s="118" t="s">
        <v>137</v>
      </c>
      <c r="B62" s="119" t="str">
        <f aca="false">"Gutters"&amp;IF($K62="Y","   (Allowance)","")</f>
        <v>Gutters</v>
      </c>
      <c r="C62" s="120" t="n">
        <f aca="false">Estimate!F62</f>
        <v>0</v>
      </c>
      <c r="D62" s="121"/>
      <c r="E62" s="121"/>
      <c r="F62" s="121"/>
      <c r="G62" s="121"/>
      <c r="H62" s="121"/>
      <c r="I62" s="121"/>
      <c r="J62" s="120" t="n">
        <v>0</v>
      </c>
      <c r="K62" s="120" t="n">
        <f aca="false">C62-J62</f>
        <v>0</v>
      </c>
      <c r="L62" s="122" t="n">
        <f aca="false">IF(C62=0,0,J62/C62)</f>
        <v>0</v>
      </c>
    </row>
    <row r="63" customFormat="false" ht="15" hidden="false" customHeight="true" outlineLevel="0" collapsed="false">
      <c r="A63" s="114"/>
      <c r="B63" s="114" t="s">
        <v>138</v>
      </c>
      <c r="C63" s="115" t="n">
        <f aca="false">Estimate!F63</f>
        <v>0</v>
      </c>
      <c r="D63" s="116"/>
      <c r="E63" s="116"/>
      <c r="F63" s="116"/>
      <c r="G63" s="116"/>
      <c r="H63" s="116"/>
      <c r="I63" s="116"/>
      <c r="J63" s="115" t="n">
        <v>0</v>
      </c>
      <c r="K63" s="115" t="n">
        <f aca="false">C63-J63</f>
        <v>0</v>
      </c>
      <c r="L63" s="117" t="n">
        <f aca="false">IF(C63=0,0,J63/C63)</f>
        <v>0</v>
      </c>
    </row>
    <row r="64" customFormat="false" ht="15" hidden="false" customHeight="true" outlineLevel="0" collapsed="false">
      <c r="A64" s="114" t="s">
        <v>140</v>
      </c>
      <c r="B64" s="114" t="str">
        <f aca="false">"Exterior Masonry"&amp;IF($K64="Y","   (Allowance)","")</f>
        <v>Exterior Masonry</v>
      </c>
      <c r="C64" s="115" t="n">
        <f aca="false">Estimate!F64</f>
        <v>0</v>
      </c>
      <c r="D64" s="116"/>
      <c r="E64" s="116"/>
      <c r="F64" s="116"/>
      <c r="G64" s="116"/>
      <c r="H64" s="116"/>
      <c r="I64" s="116"/>
      <c r="J64" s="115" t="n">
        <v>0</v>
      </c>
      <c r="K64" s="115" t="n">
        <f aca="false">C64-J64</f>
        <v>0</v>
      </c>
      <c r="L64" s="117" t="n">
        <f aca="false">IF(C64=0,0,J64/C64)</f>
        <v>0</v>
      </c>
    </row>
    <row r="65" customFormat="false" ht="15" hidden="false" customHeight="true" outlineLevel="0" collapsed="false">
      <c r="A65" s="114"/>
      <c r="B65" s="114" t="s">
        <v>296</v>
      </c>
      <c r="C65" s="115" t="n">
        <f aca="false">Estimate!F65</f>
        <v>0</v>
      </c>
      <c r="D65" s="116"/>
      <c r="E65" s="116"/>
      <c r="F65" s="116"/>
      <c r="G65" s="116"/>
      <c r="H65" s="116"/>
      <c r="I65" s="116"/>
      <c r="J65" s="115" t="n">
        <f aca="false">J66</f>
        <v>0</v>
      </c>
      <c r="K65" s="115" t="n">
        <f aca="false">C65-J65</f>
        <v>0</v>
      </c>
      <c r="L65" s="117" t="n">
        <f aca="false">IF(C65=0,0,J65/C65)</f>
        <v>0</v>
      </c>
    </row>
    <row r="66" customFormat="false" ht="15" hidden="false" customHeight="true" outlineLevel="0" collapsed="false">
      <c r="A66" s="118" t="s">
        <v>143</v>
      </c>
      <c r="B66" s="119" t="str">
        <f aca="false">"Exterior Painting"&amp;IF($K66="Y","   (Allowance)","")</f>
        <v>Exterior Painting</v>
      </c>
      <c r="C66" s="120" t="n">
        <f aca="false">Estimate!F66</f>
        <v>0</v>
      </c>
      <c r="D66" s="121"/>
      <c r="E66" s="121"/>
      <c r="F66" s="121"/>
      <c r="G66" s="121"/>
      <c r="H66" s="121"/>
      <c r="I66" s="121"/>
      <c r="J66" s="120" t="n">
        <v>0</v>
      </c>
      <c r="K66" s="120" t="n">
        <f aca="false">C66-J66</f>
        <v>0</v>
      </c>
      <c r="L66" s="122" t="n">
        <f aca="false">IF(C66=0,0,J66/C66)</f>
        <v>0</v>
      </c>
    </row>
    <row r="67" customFormat="false" ht="15" hidden="false" customHeight="true" outlineLevel="0" collapsed="false">
      <c r="A67" s="114"/>
      <c r="B67" s="114" t="s">
        <v>297</v>
      </c>
      <c r="C67" s="115" t="n">
        <f aca="false">Estimate!F67</f>
        <v>0</v>
      </c>
      <c r="D67" s="116"/>
      <c r="E67" s="116"/>
      <c r="F67" s="116"/>
      <c r="G67" s="116"/>
      <c r="H67" s="116"/>
      <c r="I67" s="116"/>
      <c r="J67" s="115" t="n">
        <f aca="false">J68</f>
        <v>0</v>
      </c>
      <c r="K67" s="115" t="n">
        <f aca="false">C67-J67</f>
        <v>0</v>
      </c>
      <c r="L67" s="117" t="n">
        <f aca="false">IF(C67=0,0,J67/C67)</f>
        <v>0</v>
      </c>
    </row>
    <row r="68" customFormat="false" ht="15" hidden="false" customHeight="true" outlineLevel="0" collapsed="false">
      <c r="A68" s="118" t="s">
        <v>146</v>
      </c>
      <c r="B68" s="119" t="str">
        <f aca="false">"Concrete Flatwork"&amp;IF($K68="Y","   (Allowance)","")</f>
        <v>Concrete Flatwork</v>
      </c>
      <c r="C68" s="120" t="n">
        <f aca="false">Estimate!F68</f>
        <v>0</v>
      </c>
      <c r="D68" s="121"/>
      <c r="E68" s="121"/>
      <c r="F68" s="121"/>
      <c r="G68" s="121"/>
      <c r="H68" s="121"/>
      <c r="I68" s="121"/>
      <c r="J68" s="120" t="n">
        <v>0</v>
      </c>
      <c r="K68" s="120" t="n">
        <f aca="false">C68-J68</f>
        <v>0</v>
      </c>
      <c r="L68" s="122" t="n">
        <f aca="false">IF(C68=0,0,J68/C68)</f>
        <v>0</v>
      </c>
    </row>
    <row r="69" customFormat="false" ht="15" hidden="false" customHeight="true" outlineLevel="0" collapsed="false">
      <c r="A69" s="114"/>
      <c r="B69" s="114" t="s">
        <v>299</v>
      </c>
      <c r="C69" s="115" t="n">
        <f aca="false">Estimate!F69</f>
        <v>0</v>
      </c>
      <c r="D69" s="116"/>
      <c r="E69" s="116"/>
      <c r="F69" s="116"/>
      <c r="G69" s="116"/>
      <c r="H69" s="116"/>
      <c r="I69" s="116"/>
      <c r="J69" s="115" t="n">
        <v>0</v>
      </c>
      <c r="K69" s="115" t="n">
        <f aca="false">C69-J69</f>
        <v>0</v>
      </c>
      <c r="L69" s="117" t="n">
        <f aca="false">IF(C69=0,0,J69/C69)</f>
        <v>0</v>
      </c>
    </row>
    <row r="70" customFormat="false" ht="15" hidden="false" customHeight="true" outlineLevel="0" collapsed="false">
      <c r="A70" s="114"/>
      <c r="B70" s="114" t="s">
        <v>301</v>
      </c>
      <c r="C70" s="115" t="n">
        <f aca="false">Estimate!F70</f>
        <v>0</v>
      </c>
      <c r="D70" s="116"/>
      <c r="E70" s="116"/>
      <c r="F70" s="116"/>
      <c r="G70" s="116"/>
      <c r="H70" s="116"/>
      <c r="I70" s="116"/>
      <c r="J70" s="115" t="n">
        <v>0</v>
      </c>
      <c r="K70" s="115" t="n">
        <f aca="false">C70-J70</f>
        <v>0</v>
      </c>
      <c r="L70" s="117" t="n">
        <f aca="false">IF(C70=0,0,J70/C70)</f>
        <v>0</v>
      </c>
    </row>
    <row r="71" customFormat="false" ht="15" hidden="false" customHeight="true" outlineLevel="0" collapsed="false">
      <c r="A71" s="114"/>
      <c r="B71" s="114" t="s">
        <v>303</v>
      </c>
      <c r="C71" s="115" t="n">
        <f aca="false">Estimate!F71</f>
        <v>0</v>
      </c>
      <c r="D71" s="116"/>
      <c r="E71" s="116"/>
      <c r="F71" s="116"/>
      <c r="G71" s="116"/>
      <c r="H71" s="116"/>
      <c r="I71" s="116"/>
      <c r="J71" s="115" t="n">
        <v>0</v>
      </c>
      <c r="K71" s="115" t="n">
        <f aca="false">C71-J71</f>
        <v>0</v>
      </c>
      <c r="L71" s="117" t="n">
        <f aca="false">IF(C71=0,0,J71/C71)</f>
        <v>0</v>
      </c>
    </row>
    <row r="72" customFormat="false" ht="15" hidden="false" customHeight="true" outlineLevel="0" collapsed="false">
      <c r="A72" s="114" t="s">
        <v>149</v>
      </c>
      <c r="B72" s="114" t="s">
        <v>150</v>
      </c>
      <c r="C72" s="115" t="n">
        <f aca="false">Estimate!F72</f>
        <v>0</v>
      </c>
      <c r="D72" s="116"/>
      <c r="E72" s="116"/>
      <c r="F72" s="116"/>
      <c r="G72" s="116"/>
      <c r="H72" s="116"/>
      <c r="I72" s="116"/>
      <c r="J72" s="115" t="n">
        <f aca="false">J73</f>
        <v>0</v>
      </c>
      <c r="K72" s="115" t="n">
        <f aca="false">C72-J72</f>
        <v>0</v>
      </c>
      <c r="L72" s="117" t="n">
        <f aca="false">IF(C72=0,0,J72/C72)</f>
        <v>0</v>
      </c>
    </row>
    <row r="73" customFormat="false" ht="15" hidden="false" customHeight="true" outlineLevel="0" collapsed="false">
      <c r="A73" s="118" t="s">
        <v>151</v>
      </c>
      <c r="B73" s="119" t="str">
        <f aca="false">"HVAC"&amp;IF($K73="Y","   (Allowance)","")</f>
        <v>HVAC</v>
      </c>
      <c r="C73" s="120" t="n">
        <f aca="false">Estimate!F73</f>
        <v>0</v>
      </c>
      <c r="D73" s="121"/>
      <c r="E73" s="121"/>
      <c r="F73" s="121"/>
      <c r="G73" s="121"/>
      <c r="H73" s="121"/>
      <c r="I73" s="121"/>
      <c r="J73" s="120" t="n">
        <v>0</v>
      </c>
      <c r="K73" s="120" t="n">
        <f aca="false">C73-J73</f>
        <v>0</v>
      </c>
      <c r="L73" s="122" t="n">
        <f aca="false">IF(C73=0,0,J73/C73)</f>
        <v>0</v>
      </c>
    </row>
    <row r="74" customFormat="false" ht="15" hidden="false" customHeight="true" outlineLevel="0" collapsed="false">
      <c r="A74" s="114"/>
      <c r="B74" s="114" t="s">
        <v>305</v>
      </c>
      <c r="C74" s="115" t="n">
        <f aca="false">Estimate!F74</f>
        <v>0</v>
      </c>
      <c r="D74" s="116"/>
      <c r="E74" s="116"/>
      <c r="F74" s="116"/>
      <c r="G74" s="116"/>
      <c r="H74" s="116"/>
      <c r="I74" s="116"/>
      <c r="J74" s="115" t="n">
        <f aca="false">J75</f>
        <v>0</v>
      </c>
      <c r="K74" s="115" t="n">
        <f aca="false">C74-J74</f>
        <v>0</v>
      </c>
      <c r="L74" s="117" t="n">
        <f aca="false">IF(C74=0,0,J74/C74)</f>
        <v>0</v>
      </c>
    </row>
    <row r="75" customFormat="false" ht="15" hidden="false" customHeight="true" outlineLevel="0" collapsed="false">
      <c r="A75" s="118" t="s">
        <v>153</v>
      </c>
      <c r="B75" s="119" t="str">
        <f aca="false">"Fireplace"&amp;IF($K75="Y","   (Allowance)","")</f>
        <v>Fireplace</v>
      </c>
      <c r="C75" s="120" t="n">
        <f aca="false">Estimate!F75</f>
        <v>0</v>
      </c>
      <c r="D75" s="121"/>
      <c r="E75" s="121"/>
      <c r="F75" s="121"/>
      <c r="G75" s="121"/>
      <c r="H75" s="121"/>
      <c r="I75" s="121"/>
      <c r="J75" s="120" t="n">
        <v>0</v>
      </c>
      <c r="K75" s="120" t="n">
        <f aca="false">C75-J75</f>
        <v>0</v>
      </c>
      <c r="L75" s="122" t="n">
        <f aca="false">IF(C75=0,0,J75/C75)</f>
        <v>0</v>
      </c>
    </row>
    <row r="76" customFormat="false" ht="15" hidden="false" customHeight="true" outlineLevel="0" collapsed="false">
      <c r="A76" s="114"/>
      <c r="B76" s="114" t="s">
        <v>307</v>
      </c>
      <c r="C76" s="115" t="n">
        <f aca="false">Estimate!F76</f>
        <v>0</v>
      </c>
      <c r="D76" s="116"/>
      <c r="E76" s="116"/>
      <c r="F76" s="116"/>
      <c r="G76" s="116"/>
      <c r="H76" s="116"/>
      <c r="I76" s="116"/>
      <c r="J76" s="115" t="n">
        <v>0</v>
      </c>
      <c r="K76" s="115" t="n">
        <f aca="false">C76-J76</f>
        <v>0</v>
      </c>
      <c r="L76" s="117" t="n">
        <f aca="false">IF(C76=0,0,J76/C76)</f>
        <v>0</v>
      </c>
    </row>
    <row r="77" customFormat="false" ht="15" hidden="false" customHeight="true" outlineLevel="0" collapsed="false">
      <c r="A77" s="114" t="s">
        <v>156</v>
      </c>
      <c r="B77" s="114" t="s">
        <v>157</v>
      </c>
      <c r="C77" s="115" t="n">
        <f aca="false">Estimate!F77</f>
        <v>0</v>
      </c>
      <c r="D77" s="116"/>
      <c r="E77" s="116"/>
      <c r="F77" s="116"/>
      <c r="G77" s="116"/>
      <c r="H77" s="116"/>
      <c r="I77" s="116"/>
      <c r="J77" s="115" t="n">
        <f aca="false">J78</f>
        <v>0</v>
      </c>
      <c r="K77" s="115" t="n">
        <f aca="false">C77-J77</f>
        <v>0</v>
      </c>
      <c r="L77" s="117" t="n">
        <f aca="false">IF(C77=0,0,J77/C77)</f>
        <v>0</v>
      </c>
    </row>
    <row r="78" customFormat="false" ht="15" hidden="false" customHeight="true" outlineLevel="0" collapsed="false">
      <c r="A78" s="118" t="s">
        <v>158</v>
      </c>
      <c r="B78" s="119" t="str">
        <f aca="false">"Plumbing"&amp;IF($K78="Y","   (Allowance)","")</f>
        <v>Plumbing</v>
      </c>
      <c r="C78" s="120" t="n">
        <f aca="false">Estimate!F78</f>
        <v>0</v>
      </c>
      <c r="D78" s="121"/>
      <c r="E78" s="121"/>
      <c r="F78" s="121"/>
      <c r="G78" s="121"/>
      <c r="H78" s="121"/>
      <c r="I78" s="121"/>
      <c r="J78" s="120" t="n">
        <v>0</v>
      </c>
      <c r="K78" s="120" t="n">
        <f aca="false">C78-J78</f>
        <v>0</v>
      </c>
      <c r="L78" s="122" t="n">
        <f aca="false">IF(C78=0,0,J78/C78)</f>
        <v>0</v>
      </c>
    </row>
    <row r="79" customFormat="false" ht="15" hidden="false" customHeight="true" outlineLevel="0" collapsed="false">
      <c r="A79" s="114"/>
      <c r="B79" s="114" t="s">
        <v>308</v>
      </c>
      <c r="C79" s="115" t="n">
        <f aca="false">Estimate!F79</f>
        <v>0</v>
      </c>
      <c r="D79" s="116"/>
      <c r="E79" s="116"/>
      <c r="F79" s="116"/>
      <c r="G79" s="116"/>
      <c r="H79" s="116"/>
      <c r="I79" s="116"/>
      <c r="J79" s="115" t="n">
        <v>0</v>
      </c>
      <c r="K79" s="115" t="n">
        <f aca="false">C79-J79</f>
        <v>0</v>
      </c>
      <c r="L79" s="117" t="n">
        <f aca="false">IF(C79=0,0,J79/C79)</f>
        <v>0</v>
      </c>
    </row>
    <row r="80" customFormat="false" ht="15" hidden="false" customHeight="true" outlineLevel="0" collapsed="false">
      <c r="A80" s="114" t="s">
        <v>161</v>
      </c>
      <c r="B80" s="114" t="s">
        <v>162</v>
      </c>
      <c r="C80" s="115" t="n">
        <f aca="false">Estimate!F80</f>
        <v>0</v>
      </c>
      <c r="D80" s="116"/>
      <c r="E80" s="116"/>
      <c r="F80" s="116"/>
      <c r="G80" s="116"/>
      <c r="H80" s="116"/>
      <c r="I80" s="116"/>
      <c r="J80" s="115" t="n">
        <f aca="false">J81</f>
        <v>0</v>
      </c>
      <c r="K80" s="115" t="n">
        <f aca="false">C80-J80</f>
        <v>0</v>
      </c>
      <c r="L80" s="117" t="n">
        <f aca="false">IF(C80=0,0,J80/C80)</f>
        <v>0</v>
      </c>
    </row>
    <row r="81" customFormat="false" ht="15" hidden="false" customHeight="true" outlineLevel="0" collapsed="false">
      <c r="A81" s="118" t="s">
        <v>163</v>
      </c>
      <c r="B81" s="119" t="str">
        <f aca="false">"Electrical"&amp;IF($K81="Y","   (Allowance)","")</f>
        <v>Electrical</v>
      </c>
      <c r="C81" s="120" t="n">
        <f aca="false">Estimate!F81</f>
        <v>0</v>
      </c>
      <c r="D81" s="121"/>
      <c r="E81" s="121"/>
      <c r="F81" s="121"/>
      <c r="G81" s="121"/>
      <c r="H81" s="121"/>
      <c r="I81" s="121"/>
      <c r="J81" s="120" t="n">
        <v>0</v>
      </c>
      <c r="K81" s="120" t="n">
        <f aca="false">C81-J81</f>
        <v>0</v>
      </c>
      <c r="L81" s="122" t="n">
        <f aca="false">IF(C81=0,0,J81/C81)</f>
        <v>0</v>
      </c>
    </row>
    <row r="82" customFormat="false" ht="15" hidden="false" customHeight="true" outlineLevel="0" collapsed="false">
      <c r="A82" s="114"/>
      <c r="B82" s="114" t="s">
        <v>310</v>
      </c>
      <c r="C82" s="115" t="n">
        <f aca="false">Estimate!F82</f>
        <v>0</v>
      </c>
      <c r="D82" s="116"/>
      <c r="E82" s="116"/>
      <c r="F82" s="116"/>
      <c r="G82" s="116"/>
      <c r="H82" s="116"/>
      <c r="I82" s="116"/>
      <c r="J82" s="115" t="n">
        <v>0</v>
      </c>
      <c r="K82" s="115" t="n">
        <f aca="false">C82-J82</f>
        <v>0</v>
      </c>
      <c r="L82" s="117" t="n">
        <f aca="false">IF(C82=0,0,J82/C82)</f>
        <v>0</v>
      </c>
    </row>
    <row r="83" customFormat="false" ht="15" hidden="false" customHeight="true" outlineLevel="0" collapsed="false">
      <c r="A83" s="114"/>
      <c r="B83" s="114" t="s">
        <v>312</v>
      </c>
      <c r="C83" s="115" t="n">
        <f aca="false">Estimate!F83</f>
        <v>0</v>
      </c>
      <c r="D83" s="116"/>
      <c r="E83" s="116"/>
      <c r="F83" s="116"/>
      <c r="G83" s="116"/>
      <c r="H83" s="116"/>
      <c r="I83" s="116"/>
      <c r="J83" s="115" t="n">
        <v>0</v>
      </c>
      <c r="K83" s="115" t="n">
        <f aca="false">C83-J83</f>
        <v>0</v>
      </c>
      <c r="L83" s="117" t="n">
        <f aca="false">IF(C83=0,0,J83/C83)</f>
        <v>0</v>
      </c>
    </row>
    <row r="84" customFormat="false" ht="15" hidden="false" customHeight="true" outlineLevel="0" collapsed="false">
      <c r="A84" s="114"/>
      <c r="B84" s="114" t="s">
        <v>314</v>
      </c>
      <c r="C84" s="115" t="n">
        <f aca="false">Estimate!F84</f>
        <v>0</v>
      </c>
      <c r="D84" s="116"/>
      <c r="E84" s="116"/>
      <c r="F84" s="116"/>
      <c r="G84" s="116"/>
      <c r="H84" s="116"/>
      <c r="I84" s="116"/>
      <c r="J84" s="115" t="n">
        <v>0</v>
      </c>
      <c r="K84" s="115" t="n">
        <f aca="false">C84-J84</f>
        <v>0</v>
      </c>
      <c r="L84" s="117" t="n">
        <f aca="false">IF(C84=0,0,J84/C84)</f>
        <v>0</v>
      </c>
    </row>
    <row r="85" customFormat="false" ht="15" hidden="false" customHeight="true" outlineLevel="0" collapsed="false">
      <c r="A85" s="114" t="s">
        <v>166</v>
      </c>
      <c r="B85" s="114" t="str">
        <f aca="false">"Electrical Fixtures"&amp;IF($K85="Y","   (Allowance)","")</f>
        <v>Electrical Fixtures</v>
      </c>
      <c r="C85" s="115" t="n">
        <f aca="false">Estimate!F85</f>
        <v>0</v>
      </c>
      <c r="D85" s="116"/>
      <c r="E85" s="116"/>
      <c r="F85" s="116"/>
      <c r="G85" s="116"/>
      <c r="H85" s="116"/>
      <c r="I85" s="116"/>
      <c r="J85" s="115" t="n">
        <v>0</v>
      </c>
      <c r="K85" s="115" t="n">
        <f aca="false">C85-J85</f>
        <v>0</v>
      </c>
      <c r="L85" s="117" t="n">
        <f aca="false">IF(C85=0,0,J85/C85)</f>
        <v>0</v>
      </c>
    </row>
    <row r="86" customFormat="false" ht="15" hidden="false" customHeight="true" outlineLevel="0" collapsed="false">
      <c r="A86" s="114"/>
      <c r="B86" s="114" t="s">
        <v>316</v>
      </c>
      <c r="C86" s="115" t="n">
        <f aca="false">Estimate!F86</f>
        <v>0</v>
      </c>
      <c r="D86" s="116"/>
      <c r="E86" s="116"/>
      <c r="F86" s="116"/>
      <c r="G86" s="116"/>
      <c r="H86" s="116"/>
      <c r="I86" s="116"/>
      <c r="J86" s="115" t="n">
        <v>0</v>
      </c>
      <c r="K86" s="115" t="n">
        <f aca="false">C86-J86</f>
        <v>0</v>
      </c>
      <c r="L86" s="117" t="n">
        <f aca="false">IF(C86=0,0,J86/C86)</f>
        <v>0</v>
      </c>
    </row>
    <row r="87" customFormat="false" ht="15" hidden="false" customHeight="true" outlineLevel="0" collapsed="false">
      <c r="A87" s="114" t="s">
        <v>169</v>
      </c>
      <c r="B87" s="114" t="s">
        <v>170</v>
      </c>
      <c r="C87" s="115" t="n">
        <f aca="false">Estimate!F87</f>
        <v>0</v>
      </c>
      <c r="D87" s="116"/>
      <c r="E87" s="116"/>
      <c r="F87" s="116"/>
      <c r="G87" s="116"/>
      <c r="H87" s="116"/>
      <c r="I87" s="116"/>
      <c r="J87" s="115" t="n">
        <f aca="false">J88</f>
        <v>0</v>
      </c>
      <c r="K87" s="115" t="n">
        <f aca="false">C87-J87</f>
        <v>0</v>
      </c>
      <c r="L87" s="117" t="n">
        <f aca="false">IF(C87=0,0,J87/C87)</f>
        <v>0</v>
      </c>
    </row>
    <row r="88" customFormat="false" ht="15" hidden="false" customHeight="true" outlineLevel="0" collapsed="false">
      <c r="A88" s="118" t="s">
        <v>171</v>
      </c>
      <c r="B88" s="119" t="str">
        <f aca="false">"Insulation"&amp;IF($K88="Y","   (Allowance)","")</f>
        <v>Insulation</v>
      </c>
      <c r="C88" s="120" t="n">
        <f aca="false">Estimate!F88</f>
        <v>0</v>
      </c>
      <c r="D88" s="121"/>
      <c r="E88" s="121"/>
      <c r="F88" s="121"/>
      <c r="G88" s="121"/>
      <c r="H88" s="121"/>
      <c r="I88" s="121"/>
      <c r="J88" s="120" t="n">
        <v>0</v>
      </c>
      <c r="K88" s="120" t="n">
        <f aca="false">C88-J88</f>
        <v>0</v>
      </c>
      <c r="L88" s="122" t="n">
        <f aca="false">IF(C88=0,0,J88/C88)</f>
        <v>0</v>
      </c>
    </row>
    <row r="89" customFormat="false" ht="15" hidden="false" customHeight="true" outlineLevel="0" collapsed="false">
      <c r="A89" s="114"/>
      <c r="B89" s="114" t="s">
        <v>170</v>
      </c>
      <c r="C89" s="115" t="n">
        <f aca="false">Estimate!F89</f>
        <v>0</v>
      </c>
      <c r="D89" s="116"/>
      <c r="E89" s="116"/>
      <c r="F89" s="116"/>
      <c r="G89" s="116"/>
      <c r="H89" s="116"/>
      <c r="I89" s="116"/>
      <c r="J89" s="115" t="n">
        <v>0</v>
      </c>
      <c r="K89" s="115" t="n">
        <f aca="false">C89-J89</f>
        <v>0</v>
      </c>
      <c r="L89" s="117" t="n">
        <f aca="false">IF(C89=0,0,J89/C89)</f>
        <v>0</v>
      </c>
    </row>
    <row r="90" customFormat="false" ht="15" hidden="false" customHeight="true" outlineLevel="0" collapsed="false">
      <c r="A90" s="114" t="s">
        <v>173</v>
      </c>
      <c r="B90" s="114" t="s">
        <v>174</v>
      </c>
      <c r="C90" s="115" t="n">
        <f aca="false">Estimate!F90</f>
        <v>0</v>
      </c>
      <c r="D90" s="116"/>
      <c r="E90" s="116"/>
      <c r="F90" s="116"/>
      <c r="G90" s="116"/>
      <c r="H90" s="116"/>
      <c r="I90" s="116"/>
      <c r="J90" s="115" t="n">
        <f aca="false">J91</f>
        <v>0</v>
      </c>
      <c r="K90" s="115" t="n">
        <f aca="false">C90-J90</f>
        <v>0</v>
      </c>
      <c r="L90" s="117" t="n">
        <f aca="false">IF(C90=0,0,J90/C90)</f>
        <v>0</v>
      </c>
    </row>
    <row r="91" customFormat="false" ht="15" hidden="false" customHeight="true" outlineLevel="0" collapsed="false">
      <c r="A91" s="118" t="s">
        <v>175</v>
      </c>
      <c r="B91" s="119" t="str">
        <f aca="false">"Drywall"&amp;IF($K91="Y","   (Allowance)","")</f>
        <v>Drywall</v>
      </c>
      <c r="C91" s="120" t="n">
        <f aca="false">Estimate!F91</f>
        <v>0</v>
      </c>
      <c r="D91" s="121"/>
      <c r="E91" s="121"/>
      <c r="F91" s="121"/>
      <c r="G91" s="121"/>
      <c r="H91" s="121"/>
      <c r="I91" s="121"/>
      <c r="J91" s="120" t="n">
        <v>0</v>
      </c>
      <c r="K91" s="120" t="n">
        <f aca="false">C91-J91</f>
        <v>0</v>
      </c>
      <c r="L91" s="122" t="n">
        <f aca="false">IF(C91=0,0,J91/C91)</f>
        <v>0</v>
      </c>
    </row>
    <row r="92" customFormat="false" ht="15" hidden="false" customHeight="true" outlineLevel="0" collapsed="false">
      <c r="A92" s="114"/>
      <c r="B92" s="114" t="s">
        <v>318</v>
      </c>
      <c r="C92" s="115" t="n">
        <f aca="false">Estimate!F92</f>
        <v>0</v>
      </c>
      <c r="D92" s="116"/>
      <c r="E92" s="116"/>
      <c r="F92" s="116"/>
      <c r="G92" s="116"/>
      <c r="H92" s="116"/>
      <c r="I92" s="116"/>
      <c r="J92" s="115" t="n">
        <f aca="false">J93</f>
        <v>0</v>
      </c>
      <c r="K92" s="115" t="n">
        <f aca="false">C92-J92</f>
        <v>0</v>
      </c>
      <c r="L92" s="117" t="n">
        <f aca="false">IF(C92=0,0,J92/C92)</f>
        <v>0</v>
      </c>
    </row>
    <row r="93" customFormat="false" ht="15" hidden="false" customHeight="true" outlineLevel="0" collapsed="false">
      <c r="A93" s="118" t="s">
        <v>178</v>
      </c>
      <c r="B93" s="119" t="str">
        <f aca="false">"Interior Paint"&amp;IF($K93="Y","   (Allowance)","")</f>
        <v>Interior Paint</v>
      </c>
      <c r="C93" s="120" t="n">
        <f aca="false">Estimate!F93</f>
        <v>0</v>
      </c>
      <c r="D93" s="121"/>
      <c r="E93" s="121"/>
      <c r="F93" s="121"/>
      <c r="G93" s="121"/>
      <c r="H93" s="121"/>
      <c r="I93" s="121"/>
      <c r="J93" s="120" t="n">
        <v>0</v>
      </c>
      <c r="K93" s="120" t="n">
        <f aca="false">C93-J93</f>
        <v>0</v>
      </c>
      <c r="L93" s="122" t="n">
        <f aca="false">IF(C93=0,0,J93/C93)</f>
        <v>0</v>
      </c>
    </row>
    <row r="94" customFormat="false" ht="15" hidden="false" customHeight="true" outlineLevel="0" collapsed="false">
      <c r="A94" s="114"/>
      <c r="B94" s="114" t="s">
        <v>320</v>
      </c>
      <c r="C94" s="115" t="n">
        <f aca="false">Estimate!F94</f>
        <v>0</v>
      </c>
      <c r="D94" s="116"/>
      <c r="E94" s="116"/>
      <c r="F94" s="116"/>
      <c r="G94" s="116"/>
      <c r="H94" s="116"/>
      <c r="I94" s="116"/>
      <c r="J94" s="115" t="n">
        <v>0</v>
      </c>
      <c r="K94" s="115" t="n">
        <f aca="false">C94-J94</f>
        <v>0</v>
      </c>
      <c r="L94" s="117" t="n">
        <f aca="false">IF(C94=0,0,J94/C94)</f>
        <v>0</v>
      </c>
    </row>
    <row r="95" customFormat="false" ht="15" hidden="false" customHeight="true" outlineLevel="0" collapsed="false">
      <c r="A95" s="114" t="s">
        <v>181</v>
      </c>
      <c r="B95" s="114" t="str">
        <f aca="false">"Interior Paint Color(s)"&amp;IF($K95="Y","   (Allowance)","")</f>
        <v>Interior Paint Color(s)</v>
      </c>
      <c r="C95" s="115" t="n">
        <f aca="false">Estimate!F95</f>
        <v>0</v>
      </c>
      <c r="D95" s="116"/>
      <c r="E95" s="116"/>
      <c r="F95" s="116"/>
      <c r="G95" s="116"/>
      <c r="H95" s="116"/>
      <c r="I95" s="116"/>
      <c r="J95" s="115" t="n">
        <f aca="false">J96</f>
        <v>0</v>
      </c>
      <c r="K95" s="115" t="n">
        <f aca="false">C95-J95</f>
        <v>0</v>
      </c>
      <c r="L95" s="117" t="n">
        <f aca="false">IF(C95=0,0,J95/C95)</f>
        <v>0</v>
      </c>
    </row>
    <row r="96" customFormat="false" ht="15" hidden="false" customHeight="true" outlineLevel="0" collapsed="false">
      <c r="A96" s="118" t="s">
        <v>184</v>
      </c>
      <c r="B96" s="119" t="str">
        <f aca="false">"Bathroom accessories and mirrors"&amp;IF($K96="Y","   (Allowance)","")</f>
        <v>Bathroom accessories and mirrors</v>
      </c>
      <c r="C96" s="120" t="n">
        <f aca="false">Estimate!F96</f>
        <v>0</v>
      </c>
      <c r="D96" s="121"/>
      <c r="E96" s="121"/>
      <c r="F96" s="121"/>
      <c r="G96" s="121"/>
      <c r="H96" s="121"/>
      <c r="I96" s="121"/>
      <c r="J96" s="120" t="n">
        <v>0</v>
      </c>
      <c r="K96" s="120" t="n">
        <f aca="false">C96-J96</f>
        <v>0</v>
      </c>
      <c r="L96" s="122" t="n">
        <f aca="false">IF(C96=0,0,J96/C96)</f>
        <v>0</v>
      </c>
    </row>
    <row r="97" customFormat="false" ht="15" hidden="false" customHeight="true" outlineLevel="0" collapsed="false">
      <c r="A97" s="114"/>
      <c r="B97" s="114" t="s">
        <v>322</v>
      </c>
      <c r="C97" s="115" t="n">
        <f aca="false">Estimate!F97</f>
        <v>0</v>
      </c>
      <c r="D97" s="116"/>
      <c r="E97" s="116"/>
      <c r="F97" s="116"/>
      <c r="G97" s="116"/>
      <c r="H97" s="116"/>
      <c r="I97" s="116"/>
      <c r="J97" s="115" t="n">
        <v>0</v>
      </c>
      <c r="K97" s="115" t="n">
        <f aca="false">C97-J97</f>
        <v>0</v>
      </c>
      <c r="L97" s="117" t="n">
        <f aca="false">IF(C97=0,0,J97/C97)</f>
        <v>0</v>
      </c>
    </row>
    <row r="98" customFormat="false" ht="15" hidden="false" customHeight="true" outlineLevel="0" collapsed="false">
      <c r="A98" s="114"/>
      <c r="B98" s="114" t="s">
        <v>323</v>
      </c>
      <c r="C98" s="115" t="n">
        <f aca="false">Estimate!F98</f>
        <v>0</v>
      </c>
      <c r="D98" s="116"/>
      <c r="E98" s="116"/>
      <c r="F98" s="116"/>
      <c r="G98" s="116"/>
      <c r="H98" s="116"/>
      <c r="I98" s="116"/>
      <c r="J98" s="115" t="n">
        <v>0</v>
      </c>
      <c r="K98" s="115" t="n">
        <f aca="false">C98-J98</f>
        <v>0</v>
      </c>
      <c r="L98" s="117" t="n">
        <f aca="false">IF(C98=0,0,J98/C98)</f>
        <v>0</v>
      </c>
    </row>
    <row r="99" customFormat="false" ht="15" hidden="false" customHeight="true" outlineLevel="0" collapsed="false">
      <c r="A99" s="114" t="s">
        <v>187</v>
      </c>
      <c r="B99" s="114" t="str">
        <f aca="false">"Masonry - Fireplace facade"&amp;IF($K99="Y","   (Allowance)","")</f>
        <v>Masonry - Fireplace facade</v>
      </c>
      <c r="C99" s="115" t="n">
        <f aca="false">Estimate!F99</f>
        <v>0</v>
      </c>
      <c r="D99" s="116"/>
      <c r="E99" s="116"/>
      <c r="F99" s="116"/>
      <c r="G99" s="116"/>
      <c r="H99" s="116"/>
      <c r="I99" s="116"/>
      <c r="J99" s="115" t="n">
        <v>0</v>
      </c>
      <c r="K99" s="115" t="n">
        <f aca="false">C99-J99</f>
        <v>0</v>
      </c>
      <c r="L99" s="117" t="n">
        <f aca="false">IF(C99=0,0,J99/C99)</f>
        <v>0</v>
      </c>
    </row>
    <row r="100" customFormat="false" ht="15" hidden="false" customHeight="true" outlineLevel="0" collapsed="false">
      <c r="A100" s="114"/>
      <c r="B100" s="114" t="s">
        <v>324</v>
      </c>
      <c r="C100" s="115" t="n">
        <f aca="false">Estimate!F100</f>
        <v>0</v>
      </c>
      <c r="D100" s="116"/>
      <c r="E100" s="116"/>
      <c r="F100" s="116"/>
      <c r="G100" s="116"/>
      <c r="H100" s="116"/>
      <c r="I100" s="116"/>
      <c r="J100" s="115" t="n">
        <v>0</v>
      </c>
      <c r="K100" s="115" t="n">
        <f aca="false">C100-J100</f>
        <v>0</v>
      </c>
      <c r="L100" s="117" t="n">
        <f aca="false">IF(C100=0,0,J100/C100)</f>
        <v>0</v>
      </c>
    </row>
    <row r="101" customFormat="false" ht="15" hidden="false" customHeight="true" outlineLevel="0" collapsed="false">
      <c r="A101" s="114"/>
      <c r="B101" s="114" t="s">
        <v>325</v>
      </c>
      <c r="C101" s="115" t="n">
        <f aca="false">Estimate!F101</f>
        <v>0</v>
      </c>
      <c r="D101" s="116"/>
      <c r="E101" s="116"/>
      <c r="F101" s="116"/>
      <c r="G101" s="116"/>
      <c r="H101" s="116"/>
      <c r="I101" s="116"/>
      <c r="J101" s="115" t="n">
        <v>0</v>
      </c>
      <c r="K101" s="115" t="n">
        <f aca="false">C101-J101</f>
        <v>0</v>
      </c>
      <c r="L101" s="117" t="n">
        <f aca="false">IF(C101=0,0,J101/C101)</f>
        <v>0</v>
      </c>
    </row>
    <row r="102" customFormat="false" ht="15" hidden="false" customHeight="true" outlineLevel="0" collapsed="false">
      <c r="A102" s="114" t="s">
        <v>190</v>
      </c>
      <c r="B102" s="114" t="s">
        <v>191</v>
      </c>
      <c r="C102" s="115" t="n">
        <f aca="false">Estimate!F102</f>
        <v>0</v>
      </c>
      <c r="D102" s="116"/>
      <c r="E102" s="116"/>
      <c r="F102" s="116"/>
      <c r="G102" s="116"/>
      <c r="H102" s="116"/>
      <c r="I102" s="116"/>
      <c r="J102" s="115" t="n">
        <f aca="false">J103</f>
        <v>0</v>
      </c>
      <c r="K102" s="115" t="n">
        <f aca="false">C102-J102</f>
        <v>0</v>
      </c>
      <c r="L102" s="117" t="n">
        <f aca="false">IF(C102=0,0,J102/C102)</f>
        <v>0</v>
      </c>
    </row>
    <row r="103" customFormat="false" ht="15" hidden="false" customHeight="true" outlineLevel="0" collapsed="false">
      <c r="A103" s="118" t="s">
        <v>192</v>
      </c>
      <c r="B103" s="119" t="str">
        <f aca="false">"Flooring Labor"&amp;IF($K103="Y","   (Allowance)","")</f>
        <v>Flooring Labor</v>
      </c>
      <c r="C103" s="120" t="n">
        <f aca="false">Estimate!F103</f>
        <v>0</v>
      </c>
      <c r="D103" s="121"/>
      <c r="E103" s="121"/>
      <c r="F103" s="121"/>
      <c r="G103" s="121"/>
      <c r="H103" s="121"/>
      <c r="I103" s="121"/>
      <c r="J103" s="120" t="n">
        <v>0</v>
      </c>
      <c r="K103" s="120" t="n">
        <f aca="false">C103-J103</f>
        <v>0</v>
      </c>
      <c r="L103" s="122" t="n">
        <f aca="false">IF(C103=0,0,J103/C103)</f>
        <v>0</v>
      </c>
    </row>
    <row r="104" customFormat="false" ht="15" hidden="false" customHeight="true" outlineLevel="0" collapsed="false">
      <c r="A104" s="114"/>
      <c r="B104" s="114" t="s">
        <v>326</v>
      </c>
      <c r="C104" s="115" t="n">
        <f aca="false">Estimate!F104</f>
        <v>0</v>
      </c>
      <c r="D104" s="116"/>
      <c r="E104" s="116"/>
      <c r="F104" s="116"/>
      <c r="G104" s="116"/>
      <c r="H104" s="116"/>
      <c r="I104" s="116"/>
      <c r="J104" s="115" t="n">
        <v>0</v>
      </c>
      <c r="K104" s="115" t="n">
        <f aca="false">C104-J104</f>
        <v>0</v>
      </c>
      <c r="L104" s="117" t="n">
        <f aca="false">IF(C104=0,0,J104/C104)</f>
        <v>0</v>
      </c>
    </row>
    <row r="105" customFormat="false" ht="15" hidden="false" customHeight="true" outlineLevel="0" collapsed="false">
      <c r="A105" s="114"/>
      <c r="B105" s="114" t="s">
        <v>328</v>
      </c>
      <c r="C105" s="115" t="n">
        <f aca="false">Estimate!F105</f>
        <v>0</v>
      </c>
      <c r="D105" s="116"/>
      <c r="E105" s="116"/>
      <c r="F105" s="116"/>
      <c r="G105" s="116"/>
      <c r="H105" s="116"/>
      <c r="I105" s="116"/>
      <c r="J105" s="115" t="n">
        <v>0</v>
      </c>
      <c r="K105" s="115" t="n">
        <f aca="false">C105-J105</f>
        <v>0</v>
      </c>
      <c r="L105" s="117" t="n">
        <f aca="false">IF(C105=0,0,J105/C105)</f>
        <v>0</v>
      </c>
    </row>
    <row r="106" customFormat="false" ht="15" hidden="false" customHeight="true" outlineLevel="0" collapsed="false">
      <c r="A106" s="114"/>
      <c r="B106" s="114" t="s">
        <v>330</v>
      </c>
      <c r="C106" s="115" t="n">
        <f aca="false">Estimate!F106</f>
        <v>0</v>
      </c>
      <c r="D106" s="116"/>
      <c r="E106" s="116"/>
      <c r="F106" s="116"/>
      <c r="G106" s="116"/>
      <c r="H106" s="116"/>
      <c r="I106" s="116"/>
      <c r="J106" s="115" t="n">
        <v>0</v>
      </c>
      <c r="K106" s="115" t="n">
        <f aca="false">C106-J106</f>
        <v>0</v>
      </c>
      <c r="L106" s="117" t="n">
        <f aca="false">IF(C106=0,0,J106/C106)</f>
        <v>0</v>
      </c>
    </row>
    <row r="107" customFormat="false" ht="15" hidden="false" customHeight="true" outlineLevel="0" collapsed="false">
      <c r="A107" s="114"/>
      <c r="B107" s="114" t="s">
        <v>332</v>
      </c>
      <c r="C107" s="115" t="n">
        <f aca="false">Estimate!F107</f>
        <v>0</v>
      </c>
      <c r="D107" s="116"/>
      <c r="E107" s="116"/>
      <c r="F107" s="116"/>
      <c r="G107" s="116"/>
      <c r="H107" s="116"/>
      <c r="I107" s="116"/>
      <c r="J107" s="115" t="n">
        <v>0</v>
      </c>
      <c r="K107" s="115" t="n">
        <f aca="false">C107-J107</f>
        <v>0</v>
      </c>
      <c r="L107" s="117" t="n">
        <f aca="false">IF(C107=0,0,J107/C107)</f>
        <v>0</v>
      </c>
    </row>
    <row r="108" customFormat="false" ht="15" hidden="false" customHeight="true" outlineLevel="0" collapsed="false">
      <c r="A108" s="114" t="s">
        <v>195</v>
      </c>
      <c r="B108" s="114" t="str">
        <f aca="false">"Flooring material"&amp;IF($K108="Y","   (Allowance)","")</f>
        <v>Flooring material</v>
      </c>
      <c r="C108" s="115" t="n">
        <f aca="false">Estimate!F108</f>
        <v>0</v>
      </c>
      <c r="D108" s="116"/>
      <c r="E108" s="116"/>
      <c r="F108" s="116"/>
      <c r="G108" s="116"/>
      <c r="H108" s="116"/>
      <c r="I108" s="116"/>
      <c r="J108" s="115" t="n">
        <v>0</v>
      </c>
      <c r="K108" s="115" t="n">
        <f aca="false">C108-J108</f>
        <v>0</v>
      </c>
      <c r="L108" s="117" t="n">
        <f aca="false">IF(C108=0,0,J108/C108)</f>
        <v>0</v>
      </c>
    </row>
    <row r="109" customFormat="false" ht="15" hidden="false" customHeight="true" outlineLevel="0" collapsed="false">
      <c r="A109" s="114"/>
      <c r="B109" s="114" t="s">
        <v>334</v>
      </c>
      <c r="C109" s="115" t="n">
        <f aca="false">Estimate!F109</f>
        <v>0</v>
      </c>
      <c r="D109" s="116"/>
      <c r="E109" s="116"/>
      <c r="F109" s="116"/>
      <c r="G109" s="116"/>
      <c r="H109" s="116"/>
      <c r="I109" s="116"/>
      <c r="J109" s="115" t="n">
        <v>0</v>
      </c>
      <c r="K109" s="115" t="n">
        <f aca="false">C109-J109</f>
        <v>0</v>
      </c>
      <c r="L109" s="117" t="n">
        <f aca="false">IF(C109=0,0,J109/C109)</f>
        <v>0</v>
      </c>
    </row>
    <row r="110" customFormat="false" ht="15" hidden="false" customHeight="true" outlineLevel="0" collapsed="false">
      <c r="A110" s="114"/>
      <c r="B110" s="114" t="s">
        <v>326</v>
      </c>
      <c r="C110" s="115" t="n">
        <f aca="false">Estimate!F110</f>
        <v>0</v>
      </c>
      <c r="D110" s="116"/>
      <c r="E110" s="116"/>
      <c r="F110" s="116"/>
      <c r="G110" s="116"/>
      <c r="H110" s="116"/>
      <c r="I110" s="116"/>
      <c r="J110" s="115" t="n">
        <v>0</v>
      </c>
      <c r="K110" s="115" t="n">
        <f aca="false">C110-J110</f>
        <v>0</v>
      </c>
      <c r="L110" s="117" t="n">
        <f aca="false">IF(C110=0,0,J110/C110)</f>
        <v>0</v>
      </c>
    </row>
    <row r="111" customFormat="false" ht="15" hidden="false" customHeight="true" outlineLevel="0" collapsed="false">
      <c r="A111" s="114" t="s">
        <v>198</v>
      </c>
      <c r="B111" s="114" t="s">
        <v>199</v>
      </c>
      <c r="C111" s="115" t="n">
        <f aca="false">Estimate!F111</f>
        <v>0</v>
      </c>
      <c r="D111" s="116"/>
      <c r="E111" s="116"/>
      <c r="F111" s="116"/>
      <c r="G111" s="116"/>
      <c r="H111" s="116"/>
      <c r="I111" s="116"/>
      <c r="J111" s="115" t="n">
        <f aca="false">J112</f>
        <v>0</v>
      </c>
      <c r="K111" s="115" t="n">
        <f aca="false">C111-J111</f>
        <v>0</v>
      </c>
      <c r="L111" s="117" t="n">
        <f aca="false">IF(C111=0,0,J111/C111)</f>
        <v>0</v>
      </c>
    </row>
    <row r="112" customFormat="false" ht="15" hidden="false" customHeight="true" outlineLevel="0" collapsed="false">
      <c r="A112" s="118" t="s">
        <v>200</v>
      </c>
      <c r="B112" s="119" t="str">
        <f aca="false">"Millwork"&amp;IF($K112="Y","   (Allowance)","")</f>
        <v>Millwork</v>
      </c>
      <c r="C112" s="120" t="n">
        <f aca="false">Estimate!F112</f>
        <v>0</v>
      </c>
      <c r="D112" s="121"/>
      <c r="E112" s="121"/>
      <c r="F112" s="121"/>
      <c r="G112" s="121"/>
      <c r="H112" s="121"/>
      <c r="I112" s="121"/>
      <c r="J112" s="120" t="n">
        <v>0</v>
      </c>
      <c r="K112" s="120" t="n">
        <f aca="false">C112-J112</f>
        <v>0</v>
      </c>
      <c r="L112" s="122" t="n">
        <f aca="false">IF(C112=0,0,J112/C112)</f>
        <v>0</v>
      </c>
    </row>
    <row r="113" customFormat="false" ht="15" hidden="false" customHeight="true" outlineLevel="0" collapsed="false">
      <c r="A113" s="114"/>
      <c r="B113" s="114" t="s">
        <v>337</v>
      </c>
      <c r="C113" s="115" t="n">
        <f aca="false">Estimate!F113</f>
        <v>0</v>
      </c>
      <c r="D113" s="116"/>
      <c r="E113" s="116"/>
      <c r="F113" s="116"/>
      <c r="G113" s="116"/>
      <c r="H113" s="116"/>
      <c r="I113" s="116"/>
      <c r="J113" s="115" t="n">
        <f aca="false">J114</f>
        <v>0</v>
      </c>
      <c r="K113" s="115" t="n">
        <f aca="false">C113-J113</f>
        <v>0</v>
      </c>
      <c r="L113" s="117" t="n">
        <f aca="false">IF(C113=0,0,J113/C113)</f>
        <v>0</v>
      </c>
    </row>
    <row r="114" customFormat="false" ht="15" hidden="false" customHeight="true" outlineLevel="0" collapsed="false">
      <c r="A114" s="118" t="s">
        <v>203</v>
      </c>
      <c r="B114" s="119" t="str">
        <f aca="false">"Finish Carpentry"&amp;IF($K114="Y","   (Allowance)","")</f>
        <v>Finish Carpentry</v>
      </c>
      <c r="C114" s="120" t="n">
        <f aca="false">Estimate!F114</f>
        <v>0</v>
      </c>
      <c r="D114" s="121"/>
      <c r="E114" s="121"/>
      <c r="F114" s="121"/>
      <c r="G114" s="121"/>
      <c r="H114" s="121"/>
      <c r="I114" s="121"/>
      <c r="J114" s="120" t="n">
        <v>0</v>
      </c>
      <c r="K114" s="120" t="n">
        <f aca="false">C114-J114</f>
        <v>0</v>
      </c>
      <c r="L114" s="122" t="n">
        <f aca="false">IF(C114=0,0,J114/C114)</f>
        <v>0</v>
      </c>
    </row>
    <row r="115" customFormat="false" ht="15" hidden="false" customHeight="true" outlineLevel="0" collapsed="false">
      <c r="A115" s="114"/>
      <c r="B115" s="114" t="s">
        <v>339</v>
      </c>
      <c r="C115" s="115" t="n">
        <f aca="false">Estimate!F115</f>
        <v>0</v>
      </c>
      <c r="D115" s="116"/>
      <c r="E115" s="116"/>
      <c r="F115" s="116"/>
      <c r="G115" s="116"/>
      <c r="H115" s="116"/>
      <c r="I115" s="116"/>
      <c r="J115" s="115" t="n">
        <f aca="false">J116</f>
        <v>0</v>
      </c>
      <c r="K115" s="115" t="n">
        <f aca="false">C115-J115</f>
        <v>0</v>
      </c>
      <c r="L115" s="117" t="n">
        <f aca="false">IF(C115=0,0,J115/C115)</f>
        <v>0</v>
      </c>
    </row>
    <row r="116" customFormat="false" ht="15" hidden="false" customHeight="true" outlineLevel="0" collapsed="false">
      <c r="A116" s="118" t="s">
        <v>206</v>
      </c>
      <c r="B116" s="119" t="str">
        <f aca="false">"Cabinet Specifications"&amp;IF($K116="Y","   (Allowance)","")</f>
        <v>Cabinet Specifications</v>
      </c>
      <c r="C116" s="120" t="n">
        <f aca="false">Estimate!F116</f>
        <v>0</v>
      </c>
      <c r="D116" s="121"/>
      <c r="E116" s="121"/>
      <c r="F116" s="121"/>
      <c r="G116" s="121"/>
      <c r="H116" s="121"/>
      <c r="I116" s="121"/>
      <c r="J116" s="120" t="n">
        <v>0</v>
      </c>
      <c r="K116" s="120" t="n">
        <f aca="false">C116-J116</f>
        <v>0</v>
      </c>
      <c r="L116" s="122" t="n">
        <f aca="false">IF(C116=0,0,J116/C116)</f>
        <v>0</v>
      </c>
    </row>
    <row r="117" customFormat="false" ht="15" hidden="false" customHeight="true" outlineLevel="0" collapsed="false">
      <c r="A117" s="114"/>
      <c r="B117" s="114" t="s">
        <v>341</v>
      </c>
      <c r="C117" s="115" t="n">
        <f aca="false">Estimate!F117</f>
        <v>0</v>
      </c>
      <c r="D117" s="116"/>
      <c r="E117" s="116"/>
      <c r="F117" s="116"/>
      <c r="G117" s="116"/>
      <c r="H117" s="116"/>
      <c r="I117" s="116"/>
      <c r="J117" s="115" t="n">
        <f aca="false">J118</f>
        <v>0</v>
      </c>
      <c r="K117" s="115" t="n">
        <f aca="false">C117-J117</f>
        <v>0</v>
      </c>
      <c r="L117" s="117" t="n">
        <f aca="false">IF(C117=0,0,J117/C117)</f>
        <v>0</v>
      </c>
    </row>
    <row r="118" customFormat="false" ht="15" hidden="false" customHeight="true" outlineLevel="0" collapsed="false">
      <c r="A118" s="118" t="s">
        <v>209</v>
      </c>
      <c r="B118" s="119" t="str">
        <f aca="false">"Countertops"&amp;IF($K118="Y","   (Allowance)","")</f>
        <v>Countertops</v>
      </c>
      <c r="C118" s="120" t="n">
        <f aca="false">Estimate!F118</f>
        <v>0</v>
      </c>
      <c r="D118" s="121"/>
      <c r="E118" s="121"/>
      <c r="F118" s="121"/>
      <c r="G118" s="121"/>
      <c r="H118" s="121"/>
      <c r="I118" s="121"/>
      <c r="J118" s="120" t="n">
        <v>0</v>
      </c>
      <c r="K118" s="120" t="n">
        <f aca="false">C118-J118</f>
        <v>0</v>
      </c>
      <c r="L118" s="122" t="n">
        <f aca="false">IF(C118=0,0,J118/C118)</f>
        <v>0</v>
      </c>
    </row>
    <row r="119" customFormat="false" ht="15" hidden="false" customHeight="true" outlineLevel="0" collapsed="false">
      <c r="A119" s="114"/>
      <c r="B119" s="114" t="s">
        <v>343</v>
      </c>
      <c r="C119" s="115" t="n">
        <f aca="false">Estimate!F119</f>
        <v>0</v>
      </c>
      <c r="D119" s="116"/>
      <c r="E119" s="116"/>
      <c r="F119" s="116"/>
      <c r="G119" s="116"/>
      <c r="H119" s="116"/>
      <c r="I119" s="116"/>
      <c r="J119" s="115" t="n">
        <v>0</v>
      </c>
      <c r="K119" s="115" t="n">
        <f aca="false">C119-J119</f>
        <v>0</v>
      </c>
      <c r="L119" s="117" t="n">
        <f aca="false">IF(C119=0,0,J119/C119)</f>
        <v>0</v>
      </c>
    </row>
    <row r="120" customFormat="false" ht="15" hidden="false" customHeight="true" outlineLevel="0" collapsed="false">
      <c r="A120" s="114"/>
      <c r="B120" s="114" t="s">
        <v>345</v>
      </c>
      <c r="C120" s="115" t="n">
        <f aca="false">Estimate!F120</f>
        <v>0</v>
      </c>
      <c r="D120" s="116"/>
      <c r="E120" s="116"/>
      <c r="F120" s="116"/>
      <c r="G120" s="116"/>
      <c r="H120" s="116"/>
      <c r="I120" s="116"/>
      <c r="J120" s="115" t="n">
        <v>0</v>
      </c>
      <c r="K120" s="115" t="n">
        <f aca="false">C120-J120</f>
        <v>0</v>
      </c>
      <c r="L120" s="117" t="n">
        <f aca="false">IF(C120=0,0,J120/C120)</f>
        <v>0</v>
      </c>
    </row>
    <row r="121" customFormat="false" ht="15" hidden="false" customHeight="true" outlineLevel="0" collapsed="false">
      <c r="A121" s="114" t="s">
        <v>212</v>
      </c>
      <c r="B121" s="114" t="s">
        <v>213</v>
      </c>
      <c r="C121" s="115" t="n">
        <f aca="false">Estimate!F121</f>
        <v>0</v>
      </c>
      <c r="D121" s="116"/>
      <c r="E121" s="116"/>
      <c r="F121" s="116"/>
      <c r="G121" s="116"/>
      <c r="H121" s="116"/>
      <c r="I121" s="116"/>
      <c r="J121" s="115" t="n">
        <v>0</v>
      </c>
      <c r="K121" s="115" t="n">
        <f aca="false">C121-J121</f>
        <v>0</v>
      </c>
      <c r="L121" s="117" t="n">
        <f aca="false">IF(C121=0,0,J121/C121)</f>
        <v>0</v>
      </c>
    </row>
    <row r="122" customFormat="false" ht="15" hidden="false" customHeight="true" outlineLevel="0" collapsed="false">
      <c r="A122" s="114" t="s">
        <v>214</v>
      </c>
      <c r="B122" s="114" t="str">
        <f aca="false">"Appliance Specifications"&amp;IF($K122="Y","   (Allowance)","")</f>
        <v>Appliance Specifications</v>
      </c>
      <c r="C122" s="115" t="n">
        <f aca="false">Estimate!F122</f>
        <v>0</v>
      </c>
      <c r="D122" s="116"/>
      <c r="E122" s="116"/>
      <c r="F122" s="116"/>
      <c r="G122" s="116"/>
      <c r="H122" s="116"/>
      <c r="I122" s="116"/>
      <c r="J122" s="115" t="n">
        <v>0</v>
      </c>
      <c r="K122" s="115" t="n">
        <f aca="false">C122-J122</f>
        <v>0</v>
      </c>
      <c r="L122" s="117" t="n">
        <f aca="false">IF(C122=0,0,J122/C122)</f>
        <v>0</v>
      </c>
    </row>
    <row r="123" customFormat="false" ht="15" hidden="false" customHeight="true" outlineLevel="0" collapsed="false">
      <c r="A123" s="114"/>
      <c r="B123" s="114" t="s">
        <v>347</v>
      </c>
      <c r="C123" s="115" t="n">
        <f aca="false">Estimate!F123</f>
        <v>0</v>
      </c>
      <c r="D123" s="116"/>
      <c r="E123" s="116"/>
      <c r="F123" s="116"/>
      <c r="G123" s="116"/>
      <c r="H123" s="116"/>
      <c r="I123" s="116"/>
      <c r="J123" s="115" t="n">
        <v>0</v>
      </c>
      <c r="K123" s="115" t="n">
        <f aca="false">C123-J123</f>
        <v>0</v>
      </c>
      <c r="L123" s="117" t="n">
        <f aca="false">IF(C123=0,0,J123/C123)</f>
        <v>0</v>
      </c>
    </row>
    <row r="124" customFormat="false" ht="15" hidden="false" customHeight="true" outlineLevel="0" collapsed="false">
      <c r="A124" s="114" t="s">
        <v>217</v>
      </c>
      <c r="B124" s="114" t="str">
        <f aca="false">"Window Coverings"&amp;IF($K124="Y","   (Allowance)","")</f>
        <v>Window Coverings</v>
      </c>
      <c r="C124" s="115" t="n">
        <f aca="false">Estimate!F124</f>
        <v>0</v>
      </c>
      <c r="D124" s="116"/>
      <c r="E124" s="116"/>
      <c r="F124" s="116"/>
      <c r="G124" s="116"/>
      <c r="H124" s="116"/>
      <c r="I124" s="116"/>
      <c r="J124" s="115" t="n">
        <v>0</v>
      </c>
      <c r="K124" s="115" t="n">
        <f aca="false">C124-J124</f>
        <v>0</v>
      </c>
      <c r="L124" s="117" t="n">
        <f aca="false">IF(C124=0,0,J124/C124)</f>
        <v>0</v>
      </c>
    </row>
    <row r="125" customFormat="false" ht="15" hidden="false" customHeight="true" outlineLevel="0" collapsed="false">
      <c r="A125" s="114"/>
      <c r="B125" s="114" t="s">
        <v>348</v>
      </c>
      <c r="C125" s="115" t="n">
        <f aca="false">Estimate!F125</f>
        <v>0</v>
      </c>
      <c r="D125" s="116"/>
      <c r="E125" s="116"/>
      <c r="F125" s="116"/>
      <c r="G125" s="116"/>
      <c r="H125" s="116"/>
      <c r="I125" s="116"/>
      <c r="J125" s="115" t="n">
        <v>0</v>
      </c>
      <c r="K125" s="115" t="n">
        <f aca="false">C125-J125</f>
        <v>0</v>
      </c>
      <c r="L125" s="117" t="n">
        <f aca="false">IF(C125=0,0,J125/C125)</f>
        <v>0</v>
      </c>
    </row>
    <row r="126" customFormat="false" ht="15" hidden="false" customHeight="true" outlineLevel="0" collapsed="false">
      <c r="A126" s="114" t="s">
        <v>220</v>
      </c>
      <c r="B126" s="114" t="s">
        <v>221</v>
      </c>
      <c r="C126" s="115" t="n">
        <f aca="false">Estimate!F126</f>
        <v>0</v>
      </c>
      <c r="D126" s="116"/>
      <c r="E126" s="116"/>
      <c r="F126" s="116"/>
      <c r="G126" s="116"/>
      <c r="H126" s="116"/>
      <c r="I126" s="116"/>
      <c r="J126" s="115" t="n">
        <f aca="false">J127</f>
        <v>0</v>
      </c>
      <c r="K126" s="115" t="n">
        <f aca="false">C126-J126</f>
        <v>0</v>
      </c>
      <c r="L126" s="117" t="n">
        <f aca="false">IF(C126=0,0,J126/C126)</f>
        <v>0</v>
      </c>
    </row>
    <row r="127" customFormat="false" ht="15" hidden="false" customHeight="true" outlineLevel="0" collapsed="false">
      <c r="A127" s="118" t="s">
        <v>222</v>
      </c>
      <c r="B127" s="119" t="str">
        <f aca="false">"Final Grade &amp; Landscaping"&amp;IF($K127="Y","   (Allowance)","")</f>
        <v>Final Grade &amp; Landscaping</v>
      </c>
      <c r="C127" s="120" t="n">
        <f aca="false">Estimate!F127</f>
        <v>0</v>
      </c>
      <c r="D127" s="121"/>
      <c r="E127" s="121"/>
      <c r="F127" s="121"/>
      <c r="G127" s="121"/>
      <c r="H127" s="121"/>
      <c r="I127" s="121"/>
      <c r="J127" s="120" t="n">
        <v>0</v>
      </c>
      <c r="K127" s="120" t="n">
        <f aca="false">C127-J127</f>
        <v>0</v>
      </c>
      <c r="L127" s="122" t="n">
        <f aca="false">IF(C127=0,0,J127/C127)</f>
        <v>0</v>
      </c>
    </row>
    <row r="128" customFormat="false" ht="15" hidden="false" customHeight="true" outlineLevel="0" collapsed="false">
      <c r="A128" s="114"/>
      <c r="B128" s="114" t="s">
        <v>350</v>
      </c>
      <c r="C128" s="115" t="n">
        <f aca="false">Estimate!F128</f>
        <v>0</v>
      </c>
      <c r="D128" s="116"/>
      <c r="E128" s="116"/>
      <c r="F128" s="116"/>
      <c r="G128" s="116"/>
      <c r="H128" s="116"/>
      <c r="I128" s="116"/>
      <c r="J128" s="115" t="n">
        <v>0</v>
      </c>
      <c r="K128" s="115" t="n">
        <f aca="false">C128-J128</f>
        <v>0</v>
      </c>
      <c r="L128" s="117" t="n">
        <f aca="false">IF(C128=0,0,J128/C128)</f>
        <v>0</v>
      </c>
    </row>
    <row r="129" customFormat="false" ht="15" hidden="false" customHeight="true" outlineLevel="0" collapsed="false">
      <c r="A129" s="123"/>
      <c r="B129" s="124"/>
      <c r="C129" s="125" t="n">
        <f aca="false">Estimate!F129</f>
        <v>0</v>
      </c>
      <c r="D129" s="123"/>
      <c r="E129" s="123"/>
      <c r="F129" s="123"/>
      <c r="G129" s="123"/>
      <c r="H129" s="123"/>
      <c r="I129" s="123"/>
      <c r="J129" s="126" t="n">
        <v>0</v>
      </c>
      <c r="K129" s="125" t="n">
        <f aca="false">C129-J129</f>
        <v>0</v>
      </c>
      <c r="L129" s="127" t="n">
        <f aca="false">IF(C129=0,0,J129/C129)</f>
        <v>0</v>
      </c>
    </row>
    <row r="130" customFormat="false" ht="15" hidden="false" customHeight="true" outlineLevel="0" collapsed="false">
      <c r="A130" s="128"/>
      <c r="B130" s="129" t="s">
        <v>352</v>
      </c>
      <c r="C130" s="130" t="n">
        <f aca="false">C6+C8+C10+C11+C13+C14+C15+C16+C18+C19+C20+C21+C22+C23+C24+C25+C26+C27+C29+C30+C31+C33+C34+C35+C36+C37+C39+C40+C41+C43+C45+C47+C48+C50+C51+C52+C54+C56+C57+C58+C60+C61+C63+C64+C65+C67+C69+C70+C71+C72+C74+C76+C77+C79+C80+C82+C83+C84+C85+C86+C87+C89+C90+C92+C94+C95+C97+C98+C99+C100+C101+C102+C104+C105+C106+C107+C108+C109+C110+C111+C113+C115+C117+C119+C120+C121+C122+C123+C124+C125+C126+C128</f>
        <v>0</v>
      </c>
      <c r="D130" s="130" t="n">
        <f aca="false">SUM(D6:D129)</f>
        <v>0</v>
      </c>
      <c r="E130" s="130" t="n">
        <f aca="false">SUM(E6:E129)</f>
        <v>0</v>
      </c>
      <c r="F130" s="130" t="n">
        <f aca="false">SUM(F6:F129)</f>
        <v>0</v>
      </c>
      <c r="G130" s="130" t="n">
        <f aca="false">SUM(G6:G129)</f>
        <v>0</v>
      </c>
      <c r="H130" s="130" t="n">
        <f aca="false">SUM(H6:H129)</f>
        <v>0</v>
      </c>
      <c r="I130" s="130" t="n">
        <f aca="false">SUM(I6:I129)</f>
        <v>0</v>
      </c>
      <c r="J130" s="130" t="n">
        <f aca="false">SUM(D130:I130)</f>
        <v>0</v>
      </c>
      <c r="K130" s="130" t="n">
        <f aca="false">C130-J130</f>
        <v>0</v>
      </c>
      <c r="L130" s="131" t="n">
        <f aca="false">IF(C130=0,0,J130/C130)</f>
        <v>0</v>
      </c>
    </row>
    <row r="131" customFormat="false" ht="15" hidden="false" customHeight="true" outlineLevel="0" collapsed="false">
      <c r="C131" s="132" t="s">
        <v>451</v>
      </c>
      <c r="D131" s="133"/>
      <c r="E131" s="133"/>
      <c r="F131" s="133"/>
      <c r="G131" s="133"/>
      <c r="H131" s="133"/>
      <c r="I131" s="133"/>
    </row>
    <row r="133" customFormat="false" ht="15" hidden="false" customHeight="true" outlineLevel="0" collapsed="false">
      <c r="A133" s="134" t="s">
        <v>452</v>
      </c>
      <c r="B133" s="134"/>
      <c r="C133" s="134"/>
      <c r="E133" s="135" t="s">
        <v>453</v>
      </c>
      <c r="F133" s="135"/>
      <c r="G133" s="135"/>
      <c r="H133" s="135"/>
      <c r="I133" s="135"/>
      <c r="J133" s="136"/>
    </row>
    <row r="134" customFormat="false" ht="15" hidden="false" customHeight="true" outlineLevel="0" collapsed="false">
      <c r="A134" s="118" t="s">
        <v>454</v>
      </c>
      <c r="B134" s="118" t="s">
        <v>455</v>
      </c>
      <c r="C134" s="118" t="s">
        <v>456</v>
      </c>
      <c r="E134" s="137" t="s">
        <v>457</v>
      </c>
      <c r="F134" s="137"/>
      <c r="G134" s="137"/>
      <c r="H134" s="137"/>
      <c r="I134" s="137"/>
      <c r="J134" s="138" t="n">
        <f aca="false">C130</f>
        <v>0</v>
      </c>
    </row>
    <row r="135" customFormat="false" ht="15" hidden="false" customHeight="true" outlineLevel="0" collapsed="false">
      <c r="A135" s="139" t="s">
        <v>458</v>
      </c>
      <c r="B135" s="123"/>
      <c r="C135" s="125"/>
      <c r="E135" s="137" t="s">
        <v>459</v>
      </c>
      <c r="F135" s="137"/>
      <c r="G135" s="137"/>
      <c r="H135" s="137"/>
      <c r="I135" s="137"/>
      <c r="J135" s="138" t="n">
        <f aca="false">C143</f>
        <v>0</v>
      </c>
    </row>
    <row r="136" customFormat="false" ht="15" hidden="false" customHeight="true" outlineLevel="0" collapsed="false">
      <c r="A136" s="139" t="s">
        <v>460</v>
      </c>
      <c r="B136" s="123"/>
      <c r="C136" s="125"/>
      <c r="E136" s="137" t="s">
        <v>461</v>
      </c>
      <c r="F136" s="137"/>
      <c r="G136" s="137"/>
      <c r="H136" s="137"/>
      <c r="I136" s="137"/>
      <c r="J136" s="138" t="n">
        <f aca="false">J134+J135</f>
        <v>0</v>
      </c>
    </row>
    <row r="137" customFormat="false" ht="15" hidden="false" customHeight="true" outlineLevel="0" collapsed="false">
      <c r="A137" s="139" t="s">
        <v>462</v>
      </c>
      <c r="B137" s="123"/>
      <c r="C137" s="125"/>
      <c r="E137" s="137" t="s">
        <v>463</v>
      </c>
      <c r="F137" s="137"/>
      <c r="G137" s="137"/>
      <c r="H137" s="137"/>
      <c r="I137" s="137"/>
      <c r="J137" s="138" t="n">
        <f aca="false">J130</f>
        <v>0</v>
      </c>
    </row>
    <row r="138" customFormat="false" ht="15" hidden="false" customHeight="true" outlineLevel="0" collapsed="false">
      <c r="A138" s="139" t="s">
        <v>464</v>
      </c>
      <c r="B138" s="123"/>
      <c r="C138" s="125"/>
      <c r="E138" s="137" t="s">
        <v>465</v>
      </c>
      <c r="F138" s="137"/>
      <c r="G138" s="137"/>
      <c r="H138" s="137"/>
      <c r="I138" s="137"/>
      <c r="J138" s="140"/>
    </row>
    <row r="139" customFormat="false" ht="15" hidden="false" customHeight="true" outlineLevel="0" collapsed="false">
      <c r="A139" s="139" t="s">
        <v>466</v>
      </c>
      <c r="B139" s="123"/>
      <c r="C139" s="125"/>
      <c r="E139" s="137" t="s">
        <v>467</v>
      </c>
      <c r="F139" s="137"/>
      <c r="G139" s="137"/>
      <c r="H139" s="137"/>
      <c r="I139" s="137"/>
      <c r="J139" s="138" t="n">
        <f aca="false">J136-J137-J138</f>
        <v>0</v>
      </c>
    </row>
    <row r="140" customFormat="false" ht="15" hidden="false" customHeight="true" outlineLevel="0" collapsed="false">
      <c r="A140" s="139" t="s">
        <v>468</v>
      </c>
      <c r="B140" s="123"/>
      <c r="C140" s="125"/>
    </row>
    <row r="141" customFormat="false" ht="15" hidden="false" customHeight="true" outlineLevel="0" collapsed="false">
      <c r="A141" s="139" t="s">
        <v>469</v>
      </c>
      <c r="B141" s="123"/>
      <c r="C141" s="125"/>
    </row>
    <row r="142" customFormat="false" ht="15" hidden="false" customHeight="true" outlineLevel="0" collapsed="false">
      <c r="A142" s="139" t="s">
        <v>470</v>
      </c>
      <c r="B142" s="123"/>
      <c r="C142" s="125"/>
    </row>
    <row r="143" customFormat="false" ht="15" hidden="false" customHeight="true" outlineLevel="0" collapsed="false">
      <c r="A143" s="141"/>
      <c r="B143" s="142" t="s">
        <v>471</v>
      </c>
      <c r="C143" s="143" t="n">
        <f aca="false">SUM(C135:C142)</f>
        <v>0</v>
      </c>
    </row>
    <row r="145" customFormat="false" ht="15" hidden="false" customHeight="true" outlineLevel="0" collapsed="false">
      <c r="A145" s="144" t="s">
        <v>472</v>
      </c>
      <c r="B145" s="144"/>
      <c r="C145" s="144"/>
      <c r="D145" s="144"/>
      <c r="E145" s="144"/>
      <c r="F145" s="144"/>
      <c r="G145" s="144"/>
      <c r="H145" s="144"/>
      <c r="I145" s="144"/>
      <c r="J145" s="144"/>
      <c r="K145" s="144"/>
      <c r="L145" s="144"/>
    </row>
    <row r="147" customFormat="false" ht="15" hidden="false" customHeight="true" outlineLevel="0" collapsed="false">
      <c r="A147" s="145" t="s">
        <v>473</v>
      </c>
      <c r="B147" s="145"/>
      <c r="C147" s="146"/>
      <c r="D147" s="146"/>
      <c r="E147" s="146"/>
      <c r="F147" s="146"/>
      <c r="G147" s="146"/>
      <c r="H147" s="147" t="s">
        <v>474</v>
      </c>
      <c r="I147" s="146"/>
      <c r="J147" s="146"/>
      <c r="K147" s="146"/>
      <c r="L147" s="146"/>
    </row>
    <row r="148" customFormat="false" ht="15" hidden="false" customHeight="true" outlineLevel="0" collapsed="false">
      <c r="C148" s="148" t="s">
        <v>475</v>
      </c>
      <c r="I148" s="148" t="s">
        <v>476</v>
      </c>
    </row>
    <row r="150" customFormat="false" ht="15" hidden="false" customHeight="true" outlineLevel="0" collapsed="false">
      <c r="A150" s="145" t="s">
        <v>477</v>
      </c>
      <c r="B150" s="145"/>
      <c r="C150" s="146"/>
      <c r="D150" s="146"/>
      <c r="E150" s="146"/>
      <c r="F150" s="146"/>
      <c r="G150" s="146"/>
      <c r="H150" s="147" t="s">
        <v>474</v>
      </c>
      <c r="I150" s="146"/>
      <c r="J150" s="146"/>
      <c r="K150" s="146"/>
      <c r="L150" s="146"/>
    </row>
    <row r="151" customFormat="false" ht="15" hidden="false" customHeight="true" outlineLevel="0" collapsed="false">
      <c r="C151" s="148" t="s">
        <v>475</v>
      </c>
      <c r="I151" s="148" t="s">
        <v>476</v>
      </c>
    </row>
    <row r="153" customFormat="false" ht="15" hidden="false" customHeight="true" outlineLevel="0" collapsed="false">
      <c r="A153" s="145" t="s">
        <v>478</v>
      </c>
      <c r="B153" s="145"/>
      <c r="C153" s="146"/>
      <c r="D153" s="146"/>
      <c r="E153" s="146"/>
      <c r="F153" s="146"/>
      <c r="G153" s="146"/>
      <c r="H153" s="147" t="s">
        <v>474</v>
      </c>
      <c r="I153" s="146"/>
      <c r="J153" s="146"/>
      <c r="K153" s="146"/>
      <c r="L153" s="146"/>
    </row>
    <row r="154" customFormat="false" ht="15" hidden="false" customHeight="true" outlineLevel="0" collapsed="false">
      <c r="C154" s="148" t="s">
        <v>475</v>
      </c>
      <c r="I154" s="148" t="s">
        <v>476</v>
      </c>
    </row>
  </sheetData>
  <mergeCells count="12">
    <mergeCell ref="A133:C133"/>
    <mergeCell ref="E133:I133"/>
    <mergeCell ref="E134:I134"/>
    <mergeCell ref="E135:I135"/>
    <mergeCell ref="E136:I136"/>
    <mergeCell ref="E137:I137"/>
    <mergeCell ref="E138:I138"/>
    <mergeCell ref="E139:I139"/>
    <mergeCell ref="A145:L145"/>
    <mergeCell ref="A147:B147"/>
    <mergeCell ref="A150:B150"/>
    <mergeCell ref="A153:B153"/>
  </mergeCells>
  <printOptions headings="false" gridLines="false" gridLinesSet="true" horizontalCentered="true" verticalCentered="false"/>
  <pageMargins left="0.3" right="0.3"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&amp;LRidgeline Construction&amp;CDraw Schedule — &amp;D&amp;RPage &amp;P of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7"/>
    <col collapsed="false" customWidth="true" hidden="false" outlineLevel="0" max="3" min="3" style="1" width="15"/>
    <col collapsed="false" customWidth="true" hidden="false" outlineLevel="0" max="4" min="4" style="1" width="16"/>
    <col collapsed="false" customWidth="true" hidden="false" outlineLevel="0" max="5" min="5" style="1" width="25"/>
    <col collapsed="false" customWidth="true" hidden="false" outlineLevel="0" max="6" min="6" style="1" width="9"/>
    <col collapsed="false" customWidth="true" hidden="false" outlineLevel="0" max="7" min="7" style="1" width="10"/>
    <col collapsed="false" customWidth="true" hidden="false" outlineLevel="0" max="8" min="8" style="1" width="38"/>
  </cols>
  <sheetData>
    <row r="1" customFormat="false" ht="27.75" hidden="false" customHeight="true" outlineLevel="0" collapsed="false">
      <c r="A1" s="149" t="s">
        <v>23</v>
      </c>
      <c r="B1" s="149"/>
      <c r="C1" s="149"/>
      <c r="D1" s="149"/>
      <c r="E1" s="149"/>
      <c r="F1" s="149"/>
      <c r="G1" s="149"/>
      <c r="H1" s="149"/>
    </row>
    <row r="2" customFormat="false" ht="13.5" hidden="false" customHeight="true" outlineLevel="0" collapsed="false">
      <c r="A2" s="150" t="s">
        <v>479</v>
      </c>
      <c r="B2" s="150"/>
      <c r="C2" s="150"/>
      <c r="D2" s="150"/>
      <c r="E2" s="150"/>
      <c r="F2" s="150"/>
      <c r="G2" s="150"/>
      <c r="H2" s="150"/>
    </row>
    <row r="3" customFormat="false" ht="6" hidden="false" customHeight="true" outlineLevel="0" collapsed="false"/>
    <row r="4" customFormat="false" ht="18" hidden="false" customHeight="true" outlineLevel="0" collapsed="false">
      <c r="A4" s="151" t="s">
        <v>480</v>
      </c>
      <c r="B4" s="151"/>
      <c r="C4" s="151"/>
      <c r="D4" s="152"/>
      <c r="E4" s="152"/>
      <c r="F4" s="151" t="s">
        <v>481</v>
      </c>
      <c r="G4" s="151"/>
    </row>
    <row r="5" customFormat="false" ht="18" hidden="false" customHeight="true" outlineLevel="0" collapsed="false">
      <c r="A5" s="153" t="s">
        <v>482</v>
      </c>
      <c r="B5" s="154" t="str">
        <f aca="false">Settings!$C$8</f>
        <v>Truesdell SFD</v>
      </c>
      <c r="C5" s="154"/>
      <c r="D5" s="152"/>
      <c r="E5" s="152"/>
      <c r="F5" s="155" t="s">
        <v>483</v>
      </c>
      <c r="G5" s="156" t="n">
        <f aca="false">Settings!$C$20</f>
        <v>190</v>
      </c>
      <c r="H5" s="152"/>
    </row>
    <row r="6" customFormat="false" ht="18" hidden="false" customHeight="true" outlineLevel="0" collapsed="false">
      <c r="A6" s="153" t="s">
        <v>484</v>
      </c>
      <c r="B6" s="157"/>
      <c r="C6" s="157"/>
      <c r="D6" s="152"/>
      <c r="E6" s="152"/>
      <c r="F6" s="155" t="s">
        <v>485</v>
      </c>
      <c r="G6" s="156" t="n">
        <f aca="false">Settings!$C$23</f>
        <v>1710</v>
      </c>
      <c r="H6" s="152"/>
    </row>
    <row r="7" customFormat="false" ht="18" hidden="false" customHeight="true" outlineLevel="0" collapsed="false">
      <c r="A7" s="153" t="s">
        <v>486</v>
      </c>
      <c r="B7" s="154" t="n">
        <f aca="false">Settings!$C$9</f>
        <v>0</v>
      </c>
      <c r="C7" s="154"/>
      <c r="D7" s="152"/>
      <c r="E7" s="152"/>
      <c r="F7" s="155" t="s">
        <v>487</v>
      </c>
      <c r="G7" s="156" t="n">
        <f aca="false">(Settings!$C$13+Settings!$C$14+Settings!$C$15)*1.4</f>
        <v>3248</v>
      </c>
      <c r="H7" s="152"/>
    </row>
    <row r="8" customFormat="false" ht="18" hidden="false" customHeight="true" outlineLevel="0" collapsed="false">
      <c r="A8" s="153" t="s">
        <v>474</v>
      </c>
      <c r="B8" s="158" t="n">
        <f aca="true">TODAY()</f>
        <v>46205</v>
      </c>
      <c r="C8" s="158"/>
      <c r="D8" s="152"/>
      <c r="E8" s="152"/>
      <c r="F8" s="155" t="s">
        <v>488</v>
      </c>
      <c r="G8" s="156" t="n">
        <f aca="false">Settings!$C$13</f>
        <v>1800</v>
      </c>
      <c r="H8" s="152"/>
    </row>
    <row r="9" customFormat="false" ht="18" hidden="false" customHeight="true" outlineLevel="0" collapsed="false">
      <c r="A9" s="153" t="s">
        <v>489</v>
      </c>
      <c r="B9" s="157"/>
      <c r="C9" s="157"/>
      <c r="D9" s="152"/>
      <c r="E9" s="152"/>
      <c r="F9" s="155" t="s">
        <v>490</v>
      </c>
      <c r="G9" s="156" t="n">
        <f aca="false">Settings!$C$16+Settings!$C$17</f>
        <v>0</v>
      </c>
      <c r="H9" s="152"/>
    </row>
    <row r="10" customFormat="false" ht="18" hidden="false" customHeight="true" outlineLevel="0" collapsed="false">
      <c r="D10" s="152"/>
      <c r="E10" s="152"/>
      <c r="F10" s="155" t="s">
        <v>491</v>
      </c>
      <c r="G10" s="156" t="n">
        <f aca="false">Settings!$C$14</f>
        <v>400</v>
      </c>
      <c r="H10" s="152"/>
    </row>
    <row r="11" customFormat="false" ht="7.5" hidden="false" customHeight="true" outlineLevel="0" collapsed="false">
      <c r="A11" s="152"/>
      <c r="B11" s="152"/>
      <c r="C11" s="152"/>
      <c r="D11" s="152"/>
      <c r="E11" s="152"/>
      <c r="F11" s="152"/>
      <c r="G11" s="152"/>
      <c r="H11" s="152"/>
    </row>
    <row r="12" customFormat="false" ht="19.5" hidden="false" customHeight="true" outlineLevel="0" collapsed="false">
      <c r="A12" s="159" t="s">
        <v>454</v>
      </c>
      <c r="B12" s="160" t="s">
        <v>455</v>
      </c>
      <c r="C12" s="159" t="s">
        <v>492</v>
      </c>
      <c r="D12" s="159" t="s">
        <v>493</v>
      </c>
      <c r="E12" s="160" t="s">
        <v>494</v>
      </c>
      <c r="F12" s="159" t="s">
        <v>495</v>
      </c>
      <c r="G12" s="159" t="s">
        <v>496</v>
      </c>
      <c r="H12" s="161" t="s">
        <v>497</v>
      </c>
    </row>
    <row r="13" customFormat="false" ht="15.75" hidden="false" customHeight="true" outlineLevel="0" collapsed="false">
      <c r="A13" s="162" t="s">
        <v>498</v>
      </c>
      <c r="B13" s="162"/>
      <c r="C13" s="162"/>
      <c r="D13" s="162"/>
      <c r="E13" s="162"/>
      <c r="F13" s="162"/>
      <c r="G13" s="162"/>
      <c r="H13" s="162"/>
    </row>
    <row r="14" customFormat="false" ht="16.5" hidden="false" customHeight="true" outlineLevel="0" collapsed="false">
      <c r="A14" s="163" t="n">
        <v>1</v>
      </c>
      <c r="B14" s="164" t="s">
        <v>499</v>
      </c>
      <c r="C14" s="163" t="s">
        <v>500</v>
      </c>
      <c r="D14" s="163" t="s">
        <v>501</v>
      </c>
      <c r="E14" s="165" t="s">
        <v>502</v>
      </c>
      <c r="F14" s="166" t="n">
        <f aca="false">IFERROR(CEILING($G$5/16,1),0)</f>
        <v>12</v>
      </c>
      <c r="G14" s="163" t="s">
        <v>503</v>
      </c>
      <c r="H14" s="167" t="s">
        <v>504</v>
      </c>
    </row>
    <row r="15" customFormat="false" ht="16.5" hidden="false" customHeight="true" outlineLevel="0" collapsed="false">
      <c r="A15" s="168" t="n">
        <v>2</v>
      </c>
      <c r="B15" s="169" t="s">
        <v>505</v>
      </c>
      <c r="C15" s="168" t="s">
        <v>506</v>
      </c>
      <c r="D15" s="168" t="s">
        <v>507</v>
      </c>
      <c r="E15" s="170" t="s">
        <v>508</v>
      </c>
      <c r="F15" s="171" t="n">
        <f aca="false">IFERROR(CEILING($G$5/50,1),0)</f>
        <v>4</v>
      </c>
      <c r="G15" s="168" t="s">
        <v>509</v>
      </c>
      <c r="H15" s="167" t="s">
        <v>510</v>
      </c>
    </row>
    <row r="16" customFormat="false" ht="16.5" hidden="false" customHeight="true" outlineLevel="0" collapsed="false">
      <c r="A16" s="163" t="n">
        <v>3</v>
      </c>
      <c r="B16" s="164" t="s">
        <v>511</v>
      </c>
      <c r="C16" s="163" t="s">
        <v>512</v>
      </c>
      <c r="D16" s="163" t="s">
        <v>513</v>
      </c>
      <c r="E16" s="165" t="s">
        <v>514</v>
      </c>
      <c r="F16" s="166" t="n">
        <f aca="false">IFERROR(CEILING($G$5*2/100,1),0)</f>
        <v>4</v>
      </c>
      <c r="G16" s="163" t="s">
        <v>515</v>
      </c>
      <c r="H16" s="167" t="s">
        <v>516</v>
      </c>
    </row>
    <row r="17" customFormat="false" ht="16.5" hidden="false" customHeight="true" outlineLevel="0" collapsed="false">
      <c r="A17" s="168" t="n">
        <v>4</v>
      </c>
      <c r="B17" s="169" t="s">
        <v>517</v>
      </c>
      <c r="C17" s="168" t="s">
        <v>518</v>
      </c>
      <c r="D17" s="168" t="s">
        <v>519</v>
      </c>
      <c r="E17" s="170" t="s">
        <v>520</v>
      </c>
      <c r="F17" s="171" t="n">
        <f aca="false">IFERROR(CEILING($G$8*0.8,1),0)</f>
        <v>1440</v>
      </c>
      <c r="G17" s="168" t="s">
        <v>521</v>
      </c>
      <c r="H17" s="167" t="s">
        <v>522</v>
      </c>
    </row>
    <row r="18" customFormat="false" ht="16.5" hidden="false" customHeight="true" outlineLevel="0" collapsed="false">
      <c r="A18" s="163" t="n">
        <v>5</v>
      </c>
      <c r="B18" s="164" t="s">
        <v>523</v>
      </c>
      <c r="C18" s="163" t="s">
        <v>524</v>
      </c>
      <c r="D18" s="163" t="s">
        <v>525</v>
      </c>
      <c r="E18" s="165" t="s">
        <v>526</v>
      </c>
      <c r="F18" s="166" t="n">
        <f aca="false">IFERROR(CEILING($G$8*1.05/32,1),0)</f>
        <v>60</v>
      </c>
      <c r="G18" s="163" t="s">
        <v>527</v>
      </c>
      <c r="H18" s="167" t="s">
        <v>528</v>
      </c>
    </row>
    <row r="19" customFormat="false" ht="16.5" hidden="false" customHeight="true" outlineLevel="0" collapsed="false">
      <c r="A19" s="168" t="n">
        <v>6</v>
      </c>
      <c r="B19" s="169" t="s">
        <v>529</v>
      </c>
      <c r="C19" s="168" t="s">
        <v>500</v>
      </c>
      <c r="D19" s="168" t="s">
        <v>530</v>
      </c>
      <c r="E19" s="170" t="s">
        <v>531</v>
      </c>
      <c r="F19" s="171" t="n">
        <f aca="false">IFERROR(CEILING($G$5*2/16,1),0)</f>
        <v>24</v>
      </c>
      <c r="G19" s="168" t="s">
        <v>503</v>
      </c>
      <c r="H19" s="167" t="s">
        <v>532</v>
      </c>
    </row>
    <row r="20" customFormat="false" ht="16.5" hidden="false" customHeight="true" outlineLevel="0" collapsed="false">
      <c r="A20" s="163" t="n">
        <v>7</v>
      </c>
      <c r="B20" s="164" t="s">
        <v>533</v>
      </c>
      <c r="C20" s="163" t="s">
        <v>534</v>
      </c>
      <c r="D20" s="163" t="s">
        <v>530</v>
      </c>
      <c r="E20" s="165" t="s">
        <v>535</v>
      </c>
      <c r="F20" s="166" t="n">
        <f aca="false">IFERROR(CEILING($G$5*0.75,1),0)</f>
        <v>143</v>
      </c>
      <c r="G20" s="163" t="s">
        <v>503</v>
      </c>
      <c r="H20" s="167" t="s">
        <v>536</v>
      </c>
    </row>
    <row r="21" customFormat="false" ht="16.5" hidden="false" customHeight="true" outlineLevel="0" collapsed="false">
      <c r="A21" s="168" t="n">
        <v>8</v>
      </c>
      <c r="B21" s="169" t="s">
        <v>537</v>
      </c>
      <c r="C21" s="168" t="s">
        <v>538</v>
      </c>
      <c r="D21" s="168" t="s">
        <v>539</v>
      </c>
      <c r="E21" s="170" t="s">
        <v>540</v>
      </c>
      <c r="F21" s="171" t="n">
        <f aca="false">IFERROR(CEILING($G$5*2/32,1),0)</f>
        <v>12</v>
      </c>
      <c r="G21" s="168" t="s">
        <v>527</v>
      </c>
      <c r="H21" s="167" t="s">
        <v>541</v>
      </c>
    </row>
    <row r="22" customFormat="false" ht="16.5" hidden="false" customHeight="true" outlineLevel="0" collapsed="false">
      <c r="A22" s="163" t="n">
        <v>9</v>
      </c>
      <c r="B22" s="164" t="s">
        <v>542</v>
      </c>
      <c r="C22" s="163" t="s">
        <v>543</v>
      </c>
      <c r="D22" s="163" t="s">
        <v>544</v>
      </c>
      <c r="E22" s="165" t="s">
        <v>545</v>
      </c>
      <c r="F22" s="166" t="n">
        <f aca="false">IFERROR(CEILING(($G$6+$G$8+$G$7)/2000,1),0)</f>
        <v>4</v>
      </c>
      <c r="G22" s="163" t="s">
        <v>515</v>
      </c>
      <c r="H22" s="167" t="s">
        <v>546</v>
      </c>
    </row>
    <row r="23" customFormat="false" ht="16.5" hidden="false" customHeight="true" outlineLevel="0" collapsed="false">
      <c r="A23" s="168" t="n">
        <v>10</v>
      </c>
      <c r="B23" s="169" t="s">
        <v>547</v>
      </c>
      <c r="C23" s="168" t="s">
        <v>548</v>
      </c>
      <c r="D23" s="168" t="s">
        <v>549</v>
      </c>
      <c r="E23" s="170" t="s">
        <v>550</v>
      </c>
      <c r="F23" s="171" t="n">
        <f aca="false">IFERROR(CEILING(($G$6+$G$7)/2000,1),0)</f>
        <v>3</v>
      </c>
      <c r="G23" s="168" t="s">
        <v>515</v>
      </c>
      <c r="H23" s="167" t="s">
        <v>551</v>
      </c>
    </row>
    <row r="24" customFormat="false" ht="16.5" hidden="false" customHeight="true" outlineLevel="0" collapsed="false">
      <c r="A24" s="163" t="n">
        <v>11</v>
      </c>
      <c r="B24" s="164" t="s">
        <v>552</v>
      </c>
      <c r="C24" s="163" t="s">
        <v>553</v>
      </c>
      <c r="D24" s="163" t="s">
        <v>554</v>
      </c>
      <c r="E24" s="165" t="s">
        <v>555</v>
      </c>
      <c r="F24" s="166" t="n">
        <f aca="false">IFERROR(CEILING($G$6/2000,1),0)</f>
        <v>1</v>
      </c>
      <c r="G24" s="163" t="s">
        <v>515</v>
      </c>
      <c r="H24" s="167" t="s">
        <v>556</v>
      </c>
    </row>
    <row r="25" customFormat="false" ht="15.75" hidden="false" customHeight="true" outlineLevel="0" collapsed="false">
      <c r="A25" s="162" t="s">
        <v>557</v>
      </c>
      <c r="B25" s="162"/>
      <c r="C25" s="162"/>
      <c r="D25" s="162"/>
      <c r="E25" s="162"/>
      <c r="F25" s="162"/>
      <c r="G25" s="162"/>
      <c r="H25" s="162"/>
    </row>
    <row r="26" customFormat="false" ht="16.5" hidden="false" customHeight="true" outlineLevel="0" collapsed="false">
      <c r="A26" s="163" t="n">
        <v>12</v>
      </c>
      <c r="B26" s="164" t="s">
        <v>558</v>
      </c>
      <c r="C26" s="163" t="s">
        <v>500</v>
      </c>
      <c r="D26" s="163" t="s">
        <v>530</v>
      </c>
      <c r="E26" s="165" t="s">
        <v>559</v>
      </c>
      <c r="F26" s="166" t="n">
        <f aca="false">IFERROR(CEILING($G$5*3/16*1.25,1),0)</f>
        <v>45</v>
      </c>
      <c r="G26" s="163" t="s">
        <v>503</v>
      </c>
      <c r="H26" s="167" t="s">
        <v>560</v>
      </c>
    </row>
    <row r="27" customFormat="false" ht="16.5" hidden="false" customHeight="true" outlineLevel="0" collapsed="false">
      <c r="A27" s="168" t="n">
        <v>13</v>
      </c>
      <c r="B27" s="169" t="s">
        <v>561</v>
      </c>
      <c r="C27" s="168" t="s">
        <v>534</v>
      </c>
      <c r="D27" s="168" t="s">
        <v>530</v>
      </c>
      <c r="E27" s="170" t="s">
        <v>562</v>
      </c>
      <c r="F27" s="171" t="n">
        <f aca="false">IFERROR(CEILING($G$6/9*0.75*1.15,1),0)</f>
        <v>164</v>
      </c>
      <c r="G27" s="168" t="s">
        <v>503</v>
      </c>
      <c r="H27" s="167" t="s">
        <v>563</v>
      </c>
    </row>
    <row r="28" customFormat="false" ht="16.5" hidden="false" customHeight="true" outlineLevel="0" collapsed="false">
      <c r="A28" s="163" t="n">
        <v>14</v>
      </c>
      <c r="B28" s="164" t="s">
        <v>564</v>
      </c>
      <c r="C28" s="163" t="s">
        <v>565</v>
      </c>
      <c r="D28" s="163" t="s">
        <v>539</v>
      </c>
      <c r="E28" s="165" t="s">
        <v>566</v>
      </c>
      <c r="F28" s="166" t="n">
        <f aca="false">IFERROR(CEILING($G$6*1.1/36,1),0)</f>
        <v>53</v>
      </c>
      <c r="G28" s="163" t="s">
        <v>527</v>
      </c>
      <c r="H28" s="167" t="s">
        <v>567</v>
      </c>
    </row>
    <row r="29" customFormat="false" ht="16.5" hidden="false" customHeight="true" outlineLevel="0" collapsed="false">
      <c r="A29" s="168" t="n">
        <v>15</v>
      </c>
      <c r="B29" s="169" t="s">
        <v>568</v>
      </c>
      <c r="C29" s="168" t="s">
        <v>569</v>
      </c>
      <c r="D29" s="168" t="s">
        <v>570</v>
      </c>
      <c r="E29" s="170" t="s">
        <v>571</v>
      </c>
      <c r="F29" s="172" t="n">
        <v>0</v>
      </c>
      <c r="G29" s="168" t="s">
        <v>503</v>
      </c>
      <c r="H29" s="167" t="s">
        <v>572</v>
      </c>
    </row>
    <row r="30" customFormat="false" ht="16.5" hidden="false" customHeight="true" outlineLevel="0" collapsed="false">
      <c r="A30" s="163" t="n">
        <v>16</v>
      </c>
      <c r="B30" s="164" t="s">
        <v>573</v>
      </c>
      <c r="C30" s="163" t="s">
        <v>574</v>
      </c>
      <c r="D30" s="163" t="s">
        <v>575</v>
      </c>
      <c r="E30" s="165" t="s">
        <v>576</v>
      </c>
      <c r="F30" s="172" t="n">
        <v>0</v>
      </c>
      <c r="G30" s="163" t="s">
        <v>521</v>
      </c>
      <c r="H30" s="167" t="s">
        <v>572</v>
      </c>
    </row>
    <row r="31" customFormat="false" ht="16.5" hidden="false" customHeight="true" outlineLevel="0" collapsed="false">
      <c r="A31" s="168" t="n">
        <v>17</v>
      </c>
      <c r="B31" s="169" t="s">
        <v>577</v>
      </c>
      <c r="C31" s="168" t="s">
        <v>578</v>
      </c>
      <c r="D31" s="168" t="s">
        <v>530</v>
      </c>
      <c r="E31" s="170" t="s">
        <v>579</v>
      </c>
      <c r="F31" s="171" t="n">
        <f aca="false">IFERROR(CEILING($G$8/8*3/16*1.1,1),0)</f>
        <v>47</v>
      </c>
      <c r="G31" s="168" t="s">
        <v>503</v>
      </c>
      <c r="H31" s="167" t="s">
        <v>580</v>
      </c>
    </row>
    <row r="32" customFormat="false" ht="16.5" hidden="false" customHeight="true" outlineLevel="0" collapsed="false">
      <c r="A32" s="163" t="n">
        <v>18</v>
      </c>
      <c r="B32" s="164" t="s">
        <v>581</v>
      </c>
      <c r="C32" s="163" t="s">
        <v>582</v>
      </c>
      <c r="D32" s="163" t="s">
        <v>530</v>
      </c>
      <c r="E32" s="165" t="s">
        <v>583</v>
      </c>
      <c r="F32" s="166" t="n">
        <f aca="false">IFERROR(CEILING($G$8/8*0.75*1.15,1),0)</f>
        <v>195</v>
      </c>
      <c r="G32" s="163" t="s">
        <v>503</v>
      </c>
      <c r="H32" s="167" t="s">
        <v>584</v>
      </c>
    </row>
    <row r="33" customFormat="false" ht="16.5" hidden="false" customHeight="true" outlineLevel="0" collapsed="false">
      <c r="A33" s="168" t="n">
        <v>19</v>
      </c>
      <c r="B33" s="169" t="s">
        <v>585</v>
      </c>
      <c r="C33" s="168" t="s">
        <v>586</v>
      </c>
      <c r="D33" s="168" t="s">
        <v>501</v>
      </c>
      <c r="E33" s="170" t="s">
        <v>587</v>
      </c>
      <c r="F33" s="172" t="n">
        <v>0</v>
      </c>
      <c r="G33" s="168" t="s">
        <v>503</v>
      </c>
      <c r="H33" s="167" t="s">
        <v>572</v>
      </c>
    </row>
    <row r="34" customFormat="false" ht="15.75" hidden="false" customHeight="true" outlineLevel="0" collapsed="false">
      <c r="A34" s="162" t="s">
        <v>588</v>
      </c>
      <c r="B34" s="162"/>
      <c r="C34" s="162"/>
      <c r="D34" s="162"/>
      <c r="E34" s="162"/>
      <c r="F34" s="162"/>
      <c r="G34" s="162"/>
      <c r="H34" s="162"/>
    </row>
    <row r="35" customFormat="false" ht="16.5" hidden="false" customHeight="true" outlineLevel="0" collapsed="false">
      <c r="A35" s="163" t="n">
        <v>20</v>
      </c>
      <c r="B35" s="164" t="s">
        <v>589</v>
      </c>
      <c r="C35" s="163" t="s">
        <v>538</v>
      </c>
      <c r="D35" s="163" t="s">
        <v>539</v>
      </c>
      <c r="E35" s="165" t="s">
        <v>590</v>
      </c>
      <c r="F35" s="166" t="n">
        <f aca="false">IFERROR(CEILING($G$7*1.1/32,1),0)</f>
        <v>112</v>
      </c>
      <c r="G35" s="163" t="s">
        <v>527</v>
      </c>
      <c r="H35" s="167" t="s">
        <v>591</v>
      </c>
    </row>
    <row r="36" customFormat="false" ht="16.5" hidden="false" customHeight="true" outlineLevel="0" collapsed="false">
      <c r="A36" s="168" t="n">
        <v>21</v>
      </c>
      <c r="B36" s="169" t="s">
        <v>592</v>
      </c>
      <c r="C36" s="168" t="s">
        <v>593</v>
      </c>
      <c r="D36" s="168" t="s">
        <v>594</v>
      </c>
      <c r="E36" s="170" t="s">
        <v>595</v>
      </c>
      <c r="F36" s="171" t="n">
        <f aca="false">IFERROR(CEILING($G$7/64,1),0)</f>
        <v>51</v>
      </c>
      <c r="G36" s="168" t="s">
        <v>515</v>
      </c>
      <c r="H36" s="167" t="s">
        <v>596</v>
      </c>
    </row>
    <row r="37" customFormat="false" ht="16.5" hidden="false" customHeight="true" outlineLevel="0" collapsed="false">
      <c r="A37" s="163" t="n">
        <v>22</v>
      </c>
      <c r="B37" s="164" t="s">
        <v>597</v>
      </c>
      <c r="C37" s="163" t="s">
        <v>598</v>
      </c>
      <c r="D37" s="163" t="s">
        <v>599</v>
      </c>
      <c r="E37" s="165" t="s">
        <v>600</v>
      </c>
      <c r="F37" s="166" t="n">
        <f aca="false">IFERROR(CEILING($G$5*0.2/20*1.1,1),0)</f>
        <v>3</v>
      </c>
      <c r="G37" s="163" t="s">
        <v>503</v>
      </c>
      <c r="H37" s="167" t="s">
        <v>601</v>
      </c>
    </row>
    <row r="38" customFormat="false" ht="16.5" hidden="false" customHeight="true" outlineLevel="0" collapsed="false">
      <c r="A38" s="168" t="n">
        <v>23</v>
      </c>
      <c r="B38" s="169" t="s">
        <v>602</v>
      </c>
      <c r="C38" s="168" t="s">
        <v>603</v>
      </c>
      <c r="D38" s="168" t="s">
        <v>599</v>
      </c>
      <c r="E38" s="170" t="s">
        <v>604</v>
      </c>
      <c r="F38" s="171" t="n">
        <f aca="false">IFERROR(CEILING($G$5*1.05/20,1),0)</f>
        <v>10</v>
      </c>
      <c r="G38" s="168" t="s">
        <v>503</v>
      </c>
      <c r="H38" s="167" t="s">
        <v>605</v>
      </c>
    </row>
    <row r="39" customFormat="false" ht="16.5" hidden="false" customHeight="true" outlineLevel="0" collapsed="false">
      <c r="A39" s="163" t="n">
        <v>24</v>
      </c>
      <c r="B39" s="164" t="s">
        <v>606</v>
      </c>
      <c r="C39" s="163" t="s">
        <v>607</v>
      </c>
      <c r="D39" s="163" t="s">
        <v>608</v>
      </c>
      <c r="E39" s="165" t="s">
        <v>609</v>
      </c>
      <c r="F39" s="166" t="n">
        <f aca="false">IFERROR(CEILING($G$5*1.05/12,1),0)</f>
        <v>17</v>
      </c>
      <c r="G39" s="163" t="s">
        <v>503</v>
      </c>
      <c r="H39" s="167" t="s">
        <v>610</v>
      </c>
    </row>
    <row r="40" customFormat="false" ht="16.5" hidden="false" customHeight="true" outlineLevel="0" collapsed="false">
      <c r="A40" s="168" t="n">
        <v>25</v>
      </c>
      <c r="B40" s="169" t="s">
        <v>611</v>
      </c>
      <c r="C40" s="168" t="s">
        <v>612</v>
      </c>
      <c r="D40" s="168" t="s">
        <v>530</v>
      </c>
      <c r="E40" s="170" t="s">
        <v>613</v>
      </c>
      <c r="F40" s="171" t="n">
        <f aca="false">IFERROR(CEILING($G$5*0.15/12,1),0)</f>
        <v>3</v>
      </c>
      <c r="G40" s="168" t="s">
        <v>503</v>
      </c>
      <c r="H40" s="167" t="s">
        <v>614</v>
      </c>
    </row>
    <row r="41" customFormat="false" ht="16.5" hidden="false" customHeight="true" outlineLevel="0" collapsed="false">
      <c r="A41" s="163" t="n">
        <v>26</v>
      </c>
      <c r="B41" s="164" t="s">
        <v>615</v>
      </c>
      <c r="C41" s="163" t="s">
        <v>616</v>
      </c>
      <c r="D41" s="163" t="s">
        <v>617</v>
      </c>
      <c r="E41" s="165" t="s">
        <v>618</v>
      </c>
      <c r="F41" s="166" t="n">
        <f aca="false">IFERROR(CEILING($G$5*1.5/16,1),0)</f>
        <v>18</v>
      </c>
      <c r="G41" s="163" t="s">
        <v>503</v>
      </c>
      <c r="H41" s="167" t="s">
        <v>619</v>
      </c>
    </row>
    <row r="42" customFormat="false" ht="16.5" hidden="false" customHeight="true" outlineLevel="0" collapsed="false">
      <c r="A42" s="168" t="n">
        <v>27</v>
      </c>
      <c r="B42" s="169" t="s">
        <v>620</v>
      </c>
      <c r="C42" s="168" t="s">
        <v>621</v>
      </c>
      <c r="D42" s="168" t="s">
        <v>617</v>
      </c>
      <c r="E42" s="170" t="s">
        <v>622</v>
      </c>
      <c r="F42" s="171" t="n">
        <f aca="false">IFERROR(CEILING($G$5*0.15/16,1),0)</f>
        <v>2</v>
      </c>
      <c r="G42" s="168" t="s">
        <v>503</v>
      </c>
      <c r="H42" s="167" t="s">
        <v>623</v>
      </c>
    </row>
    <row r="43" customFormat="false" ht="16.5" hidden="false" customHeight="true" outlineLevel="0" collapsed="false">
      <c r="A43" s="163" t="n">
        <v>28</v>
      </c>
      <c r="B43" s="164" t="s">
        <v>624</v>
      </c>
      <c r="C43" s="163" t="s">
        <v>625</v>
      </c>
      <c r="D43" s="163" t="s">
        <v>599</v>
      </c>
      <c r="E43" s="165" t="s">
        <v>626</v>
      </c>
      <c r="F43" s="166" t="n">
        <f aca="false">IFERROR(CEILING($G$5*0.2/20,1),0)</f>
        <v>2</v>
      </c>
      <c r="G43" s="163" t="s">
        <v>503</v>
      </c>
      <c r="H43" s="167" t="s">
        <v>627</v>
      </c>
    </row>
    <row r="44" customFormat="false" ht="15.75" hidden="false" customHeight="true" outlineLevel="0" collapsed="false">
      <c r="A44" s="162" t="s">
        <v>628</v>
      </c>
      <c r="B44" s="162"/>
      <c r="C44" s="162"/>
      <c r="D44" s="162"/>
      <c r="E44" s="162"/>
      <c r="F44" s="162"/>
      <c r="G44" s="162"/>
      <c r="H44" s="162"/>
    </row>
    <row r="45" customFormat="false" ht="16.5" hidden="false" customHeight="true" outlineLevel="0" collapsed="false">
      <c r="A45" s="163" t="n">
        <v>29</v>
      </c>
      <c r="B45" s="164" t="s">
        <v>629</v>
      </c>
      <c r="C45" s="163" t="s">
        <v>630</v>
      </c>
      <c r="D45" s="163" t="s">
        <v>631</v>
      </c>
      <c r="E45" s="165" t="s">
        <v>632</v>
      </c>
      <c r="F45" s="166" t="n">
        <f aca="false">IFERROR(CEILING($G$6/1350,1),0)</f>
        <v>2</v>
      </c>
      <c r="G45" s="163" t="s">
        <v>509</v>
      </c>
      <c r="H45" s="167" t="s">
        <v>633</v>
      </c>
    </row>
    <row r="46" customFormat="false" ht="16.5" hidden="false" customHeight="true" outlineLevel="0" collapsed="false">
      <c r="A46" s="168" t="n">
        <v>30</v>
      </c>
      <c r="B46" s="169" t="s">
        <v>634</v>
      </c>
      <c r="C46" s="168" t="s">
        <v>635</v>
      </c>
      <c r="D46" s="168" t="s">
        <v>636</v>
      </c>
      <c r="E46" s="170" t="s">
        <v>637</v>
      </c>
      <c r="F46" s="171" t="n">
        <f aca="false">IFERROR(CEILING($G$5/50,1),0)</f>
        <v>4</v>
      </c>
      <c r="G46" s="168" t="s">
        <v>509</v>
      </c>
      <c r="H46" s="167" t="s">
        <v>510</v>
      </c>
    </row>
    <row r="47" customFormat="false" ht="16.5" hidden="false" customHeight="true" outlineLevel="0" collapsed="false">
      <c r="A47" s="163" t="n">
        <v>31</v>
      </c>
      <c r="B47" s="164" t="s">
        <v>638</v>
      </c>
      <c r="C47" s="163" t="s">
        <v>639</v>
      </c>
      <c r="D47" s="163" t="s">
        <v>636</v>
      </c>
      <c r="E47" s="165" t="s">
        <v>640</v>
      </c>
      <c r="F47" s="166" t="n">
        <f aca="false">IFERROR(CEILING($G$5/50,1),0)</f>
        <v>4</v>
      </c>
      <c r="G47" s="163" t="s">
        <v>509</v>
      </c>
      <c r="H47" s="167" t="s">
        <v>510</v>
      </c>
    </row>
    <row r="48" customFormat="false" ht="16.5" hidden="false" customHeight="true" outlineLevel="0" collapsed="false">
      <c r="A48" s="168" t="n">
        <v>32</v>
      </c>
      <c r="B48" s="169" t="s">
        <v>641</v>
      </c>
      <c r="C48" s="168" t="s">
        <v>642</v>
      </c>
      <c r="D48" s="168" t="s">
        <v>641</v>
      </c>
      <c r="E48" s="170" t="s">
        <v>643</v>
      </c>
      <c r="F48" s="171" t="n">
        <f aca="false">IFERROR(CEILING($G$6/500,1),0)</f>
        <v>4</v>
      </c>
      <c r="G48" s="168" t="s">
        <v>509</v>
      </c>
      <c r="H48" s="167" t="s">
        <v>644</v>
      </c>
    </row>
    <row r="49" customFormat="false" ht="16.5" hidden="false" customHeight="true" outlineLevel="0" collapsed="false">
      <c r="A49" s="163" t="n">
        <v>33</v>
      </c>
      <c r="B49" s="164" t="s">
        <v>645</v>
      </c>
      <c r="C49" s="163" t="s">
        <v>646</v>
      </c>
      <c r="D49" s="163" t="s">
        <v>647</v>
      </c>
      <c r="E49" s="165" t="s">
        <v>648</v>
      </c>
      <c r="F49" s="166" t="n">
        <f aca="false">IFERROR(CEILING($G$6*1.1/100,1),0)</f>
        <v>19</v>
      </c>
      <c r="G49" s="163" t="s">
        <v>649</v>
      </c>
      <c r="H49" s="167" t="s">
        <v>650</v>
      </c>
    </row>
    <row r="50" customFormat="false" ht="16.5" hidden="false" customHeight="true" outlineLevel="0" collapsed="false">
      <c r="A50" s="168" t="n">
        <v>34</v>
      </c>
      <c r="B50" s="169" t="s">
        <v>651</v>
      </c>
      <c r="C50" s="168" t="s">
        <v>652</v>
      </c>
      <c r="D50" s="168" t="s">
        <v>599</v>
      </c>
      <c r="E50" s="170" t="s">
        <v>653</v>
      </c>
      <c r="F50" s="171" t="n">
        <f aca="false">IFERROR(CEILING($G$5*0.06,1),0)</f>
        <v>12</v>
      </c>
      <c r="G50" s="168" t="s">
        <v>503</v>
      </c>
      <c r="H50" s="167" t="s">
        <v>654</v>
      </c>
    </row>
    <row r="51" customFormat="false" ht="16.5" hidden="false" customHeight="true" outlineLevel="0" collapsed="false">
      <c r="A51" s="163" t="n">
        <v>35</v>
      </c>
      <c r="B51" s="164" t="s">
        <v>655</v>
      </c>
      <c r="C51" s="163" t="s">
        <v>656</v>
      </c>
      <c r="D51" s="163" t="s">
        <v>599</v>
      </c>
      <c r="E51" s="165" t="s">
        <v>657</v>
      </c>
      <c r="F51" s="172" t="n">
        <v>0</v>
      </c>
      <c r="G51" s="163" t="s">
        <v>503</v>
      </c>
      <c r="H51" s="167" t="s">
        <v>572</v>
      </c>
    </row>
    <row r="52" customFormat="false" ht="16.5" hidden="false" customHeight="true" outlineLevel="0" collapsed="false">
      <c r="A52" s="168" t="n">
        <v>36</v>
      </c>
      <c r="B52" s="169" t="s">
        <v>658</v>
      </c>
      <c r="C52" s="168" t="s">
        <v>659</v>
      </c>
      <c r="D52" s="168" t="s">
        <v>599</v>
      </c>
      <c r="E52" s="170" t="s">
        <v>660</v>
      </c>
      <c r="F52" s="171" t="n">
        <f aca="false">IFERROR(CEILING($G$5*0.15/20,1),0)</f>
        <v>2</v>
      </c>
      <c r="G52" s="168" t="s">
        <v>503</v>
      </c>
      <c r="H52" s="167" t="s">
        <v>661</v>
      </c>
    </row>
    <row r="53" customFormat="false" ht="16.5" hidden="false" customHeight="true" outlineLevel="0" collapsed="false">
      <c r="A53" s="163" t="n">
        <v>37</v>
      </c>
      <c r="B53" s="164" t="s">
        <v>662</v>
      </c>
      <c r="C53" s="163" t="s">
        <v>663</v>
      </c>
      <c r="D53" s="163" t="s">
        <v>599</v>
      </c>
      <c r="E53" s="165" t="s">
        <v>664</v>
      </c>
      <c r="F53" s="166" t="n">
        <f aca="false">IFERROR(CEILING($G$5*1.05/16,1),0)</f>
        <v>13</v>
      </c>
      <c r="G53" s="163" t="s">
        <v>503</v>
      </c>
      <c r="H53" s="167" t="s">
        <v>665</v>
      </c>
    </row>
    <row r="54" customFormat="false" ht="16.5" hidden="false" customHeight="true" outlineLevel="0" collapsed="false">
      <c r="A54" s="168" t="n">
        <v>38</v>
      </c>
      <c r="B54" s="169" t="s">
        <v>666</v>
      </c>
      <c r="C54" s="168" t="s">
        <v>667</v>
      </c>
      <c r="D54" s="168" t="s">
        <v>668</v>
      </c>
      <c r="E54" s="170" t="s">
        <v>669</v>
      </c>
      <c r="F54" s="171" t="n">
        <f aca="false">IFERROR(CEILING($G$5*0.04,1),0)</f>
        <v>8</v>
      </c>
      <c r="G54" s="168" t="s">
        <v>503</v>
      </c>
      <c r="H54" s="167" t="s">
        <v>670</v>
      </c>
    </row>
    <row r="55" customFormat="false" ht="16.5" hidden="false" customHeight="true" outlineLevel="0" collapsed="false">
      <c r="A55" s="163" t="n">
        <v>39</v>
      </c>
      <c r="B55" s="164" t="s">
        <v>671</v>
      </c>
      <c r="C55" s="163" t="s">
        <v>672</v>
      </c>
      <c r="D55" s="163" t="s">
        <v>599</v>
      </c>
      <c r="E55" s="165" t="s">
        <v>673</v>
      </c>
      <c r="F55" s="166" t="n">
        <f aca="false">IFERROR(CEILING($G$5*0.2/16,1),0)</f>
        <v>3</v>
      </c>
      <c r="G55" s="163" t="s">
        <v>503</v>
      </c>
      <c r="H55" s="167" t="s">
        <v>674</v>
      </c>
    </row>
    <row r="56" customFormat="false" ht="16.5" hidden="false" customHeight="true" outlineLevel="0" collapsed="false">
      <c r="A56" s="168" t="n">
        <v>40</v>
      </c>
      <c r="B56" s="169" t="s">
        <v>675</v>
      </c>
      <c r="C56" s="168" t="s">
        <v>676</v>
      </c>
      <c r="D56" s="168" t="s">
        <v>677</v>
      </c>
      <c r="E56" s="170" t="s">
        <v>678</v>
      </c>
      <c r="F56" s="172" t="n">
        <v>0</v>
      </c>
      <c r="G56" s="168" t="s">
        <v>527</v>
      </c>
      <c r="H56" s="167" t="s">
        <v>572</v>
      </c>
    </row>
    <row r="57" customFormat="false" ht="16.5" hidden="false" customHeight="true" outlineLevel="0" collapsed="false">
      <c r="A57" s="163" t="n">
        <v>41</v>
      </c>
      <c r="B57" s="164" t="s">
        <v>679</v>
      </c>
      <c r="C57" s="163" t="s">
        <v>680</v>
      </c>
      <c r="D57" s="163" t="s">
        <v>681</v>
      </c>
      <c r="E57" s="165" t="s">
        <v>682</v>
      </c>
      <c r="F57" s="172" t="n">
        <v>0</v>
      </c>
      <c r="G57" s="163" t="s">
        <v>503</v>
      </c>
      <c r="H57" s="167" t="s">
        <v>572</v>
      </c>
    </row>
    <row r="58" customFormat="false" ht="16.5" hidden="false" customHeight="true" outlineLevel="0" collapsed="false">
      <c r="A58" s="168" t="n">
        <v>42</v>
      </c>
      <c r="B58" s="169" t="s">
        <v>683</v>
      </c>
      <c r="C58" s="168" t="s">
        <v>684</v>
      </c>
      <c r="D58" s="168" t="s">
        <v>685</v>
      </c>
      <c r="E58" s="170" t="s">
        <v>686</v>
      </c>
      <c r="F58" s="171" t="n">
        <f aca="false">IFERROR(CEILING($G$6/200,1),0)</f>
        <v>9</v>
      </c>
      <c r="G58" s="168" t="s">
        <v>687</v>
      </c>
      <c r="H58" s="167" t="s">
        <v>688</v>
      </c>
    </row>
    <row r="59" customFormat="false" ht="16.5" hidden="false" customHeight="true" outlineLevel="0" collapsed="false">
      <c r="A59" s="163" t="n">
        <v>43</v>
      </c>
      <c r="B59" s="164" t="s">
        <v>689</v>
      </c>
      <c r="C59" s="163" t="s">
        <v>690</v>
      </c>
      <c r="D59" s="163" t="s">
        <v>647</v>
      </c>
      <c r="E59" s="165" t="s">
        <v>691</v>
      </c>
      <c r="F59" s="166" t="n">
        <f aca="false">IFERROR(CEILING($G$6/500,1),0)</f>
        <v>4</v>
      </c>
      <c r="G59" s="163" t="s">
        <v>515</v>
      </c>
      <c r="H59" s="167" t="s">
        <v>692</v>
      </c>
    </row>
    <row r="60" customFormat="false" ht="15.75" hidden="false" customHeight="true" outlineLevel="0" collapsed="false">
      <c r="A60" s="162" t="s">
        <v>693</v>
      </c>
      <c r="B60" s="162"/>
      <c r="C60" s="162"/>
      <c r="D60" s="162"/>
      <c r="E60" s="162"/>
      <c r="F60" s="162"/>
      <c r="G60" s="162"/>
      <c r="H60" s="162"/>
    </row>
    <row r="61" customFormat="false" ht="16.5" hidden="false" customHeight="true" outlineLevel="0" collapsed="false">
      <c r="A61" s="163" t="n">
        <v>44</v>
      </c>
      <c r="B61" s="164" t="s">
        <v>694</v>
      </c>
      <c r="C61" s="163" t="s">
        <v>500</v>
      </c>
      <c r="D61" s="163" t="s">
        <v>695</v>
      </c>
      <c r="E61" s="165" t="s">
        <v>696</v>
      </c>
      <c r="F61" s="166" t="n">
        <f aca="false">IF($G$9&gt;0,IFERROR(CEILING(SQRT($G$9)*3/16,1),0),0)</f>
        <v>0</v>
      </c>
      <c r="G61" s="163" t="s">
        <v>503</v>
      </c>
      <c r="H61" s="167" t="s">
        <v>697</v>
      </c>
    </row>
    <row r="62" customFormat="false" ht="16.5" hidden="false" customHeight="true" outlineLevel="0" collapsed="false">
      <c r="A62" s="168" t="n">
        <v>45</v>
      </c>
      <c r="B62" s="169" t="s">
        <v>698</v>
      </c>
      <c r="C62" s="168" t="s">
        <v>699</v>
      </c>
      <c r="D62" s="168" t="s">
        <v>695</v>
      </c>
      <c r="E62" s="170" t="s">
        <v>700</v>
      </c>
      <c r="F62" s="171" t="n">
        <f aca="false">IF($G$9&gt;0,IFERROR(CEILING($G$9*0.8,1),0),0)</f>
        <v>0</v>
      </c>
      <c r="G62" s="168" t="s">
        <v>521</v>
      </c>
      <c r="H62" s="167" t="s">
        <v>701</v>
      </c>
    </row>
    <row r="63" customFormat="false" ht="16.5" hidden="false" customHeight="true" outlineLevel="0" collapsed="false">
      <c r="A63" s="163" t="n">
        <v>46</v>
      </c>
      <c r="B63" s="164" t="s">
        <v>702</v>
      </c>
      <c r="C63" s="163" t="s">
        <v>703</v>
      </c>
      <c r="D63" s="163" t="s">
        <v>695</v>
      </c>
      <c r="E63" s="165" t="s">
        <v>704</v>
      </c>
      <c r="F63" s="166" t="n">
        <f aca="false">IF($G$9&gt;0,IFERROR(CEILING(SQRT($G$9)/6,1),0),0)</f>
        <v>0</v>
      </c>
      <c r="G63" s="163" t="s">
        <v>503</v>
      </c>
      <c r="H63" s="167" t="s">
        <v>705</v>
      </c>
    </row>
    <row r="64" customFormat="false" ht="16.5" hidden="false" customHeight="true" outlineLevel="0" collapsed="false">
      <c r="A64" s="168" t="n">
        <v>47</v>
      </c>
      <c r="B64" s="169" t="s">
        <v>706</v>
      </c>
      <c r="C64" s="168" t="s">
        <v>707</v>
      </c>
      <c r="D64" s="168" t="s">
        <v>695</v>
      </c>
      <c r="E64" s="170" t="s">
        <v>708</v>
      </c>
      <c r="F64" s="171" t="n">
        <f aca="false">IF($G$9&gt;0,4,0)</f>
        <v>0</v>
      </c>
      <c r="G64" s="168" t="s">
        <v>503</v>
      </c>
      <c r="H64" s="167" t="s">
        <v>709</v>
      </c>
    </row>
    <row r="65" customFormat="false" ht="16.5" hidden="false" customHeight="true" outlineLevel="0" collapsed="false">
      <c r="A65" s="163" t="n">
        <v>48</v>
      </c>
      <c r="B65" s="164" t="s">
        <v>710</v>
      </c>
      <c r="C65" s="163" t="s">
        <v>711</v>
      </c>
      <c r="D65" s="163" t="s">
        <v>712</v>
      </c>
      <c r="E65" s="165" t="s">
        <v>713</v>
      </c>
      <c r="F65" s="166" t="n">
        <f aca="false">IF($G$9&gt;0,IFERROR(CEILING($G$9*1.1/(5.5/12*16),1),0),0)</f>
        <v>0</v>
      </c>
      <c r="G65" s="163" t="s">
        <v>503</v>
      </c>
      <c r="H65" s="167" t="s">
        <v>714</v>
      </c>
    </row>
    <row r="66" customFormat="false" ht="16.5" hidden="false" customHeight="true" outlineLevel="0" collapsed="false">
      <c r="A66" s="168" t="n">
        <v>49</v>
      </c>
      <c r="B66" s="169" t="s">
        <v>715</v>
      </c>
      <c r="C66" s="168" t="s">
        <v>716</v>
      </c>
      <c r="D66" s="168" t="s">
        <v>513</v>
      </c>
      <c r="E66" s="170" t="s">
        <v>717</v>
      </c>
      <c r="F66" s="171" t="n">
        <f aca="false">IF($G$9&gt;0,1,0)</f>
        <v>0</v>
      </c>
      <c r="G66" s="168" t="s">
        <v>718</v>
      </c>
      <c r="H66" s="167" t="s">
        <v>719</v>
      </c>
    </row>
    <row r="67" customFormat="false" ht="15.75" hidden="false" customHeight="true" outlineLevel="0" collapsed="false">
      <c r="A67" s="162" t="s">
        <v>720</v>
      </c>
      <c r="B67" s="162"/>
      <c r="C67" s="162"/>
      <c r="D67" s="162"/>
      <c r="E67" s="162"/>
      <c r="F67" s="162"/>
      <c r="G67" s="162"/>
      <c r="H67" s="162"/>
    </row>
    <row r="68" customFormat="false" ht="16.5" hidden="false" customHeight="true" outlineLevel="0" collapsed="false">
      <c r="A68" s="163" t="n">
        <v>50</v>
      </c>
      <c r="B68" s="164" t="s">
        <v>721</v>
      </c>
      <c r="C68" s="163" t="s">
        <v>722</v>
      </c>
      <c r="D68" s="163" t="s">
        <v>723</v>
      </c>
      <c r="E68" s="165" t="s">
        <v>724</v>
      </c>
      <c r="F68" s="172" t="n">
        <v>0</v>
      </c>
      <c r="G68" s="163" t="s">
        <v>503</v>
      </c>
      <c r="H68" s="167" t="s">
        <v>725</v>
      </c>
    </row>
    <row r="69" customFormat="false" ht="16.5" hidden="false" customHeight="true" outlineLevel="0" collapsed="false">
      <c r="A69" s="168" t="n">
        <v>51</v>
      </c>
      <c r="B69" s="169" t="s">
        <v>726</v>
      </c>
      <c r="C69" s="168" t="s">
        <v>727</v>
      </c>
      <c r="D69" s="168" t="s">
        <v>728</v>
      </c>
      <c r="E69" s="170" t="s">
        <v>729</v>
      </c>
      <c r="F69" s="172" t="n">
        <v>0</v>
      </c>
      <c r="G69" s="168" t="s">
        <v>503</v>
      </c>
      <c r="H69" s="167" t="s">
        <v>725</v>
      </c>
    </row>
    <row r="70" customFormat="false" ht="16.5" hidden="false" customHeight="true" outlineLevel="0" collapsed="false">
      <c r="A70" s="163" t="n">
        <v>52</v>
      </c>
      <c r="B70" s="164" t="s">
        <v>730</v>
      </c>
      <c r="C70" s="163" t="s">
        <v>727</v>
      </c>
      <c r="D70" s="163" t="s">
        <v>728</v>
      </c>
      <c r="E70" s="165" t="s">
        <v>731</v>
      </c>
      <c r="F70" s="172" t="n">
        <v>0</v>
      </c>
      <c r="G70" s="163" t="s">
        <v>503</v>
      </c>
      <c r="H70" s="167" t="s">
        <v>725</v>
      </c>
    </row>
    <row r="71" customFormat="false" ht="16.5" hidden="false" customHeight="true" outlineLevel="0" collapsed="false">
      <c r="A71" s="168" t="n">
        <v>53</v>
      </c>
      <c r="B71" s="169" t="s">
        <v>732</v>
      </c>
      <c r="C71" s="168" t="s">
        <v>716</v>
      </c>
      <c r="D71" s="168" t="s">
        <v>513</v>
      </c>
      <c r="E71" s="170" t="s">
        <v>733</v>
      </c>
      <c r="F71" s="172" t="n">
        <v>0</v>
      </c>
      <c r="G71" s="168" t="s">
        <v>718</v>
      </c>
      <c r="H71" s="167" t="s">
        <v>725</v>
      </c>
    </row>
    <row r="72" customFormat="false" ht="7.5" hidden="false" customHeight="true" outlineLevel="0" collapsed="false"/>
    <row r="73" customFormat="false" ht="18" hidden="false" customHeight="true" outlineLevel="0" collapsed="false">
      <c r="A73" s="173" t="s">
        <v>734</v>
      </c>
      <c r="B73" s="173"/>
      <c r="C73" s="173"/>
      <c r="D73" s="173"/>
      <c r="E73" s="173"/>
      <c r="F73" s="173"/>
      <c r="G73" s="173"/>
      <c r="H73" s="173"/>
    </row>
    <row r="74" customFormat="false" ht="18" hidden="false" customHeight="true" outlineLevel="0" collapsed="false">
      <c r="A74" s="174" t="s">
        <v>735</v>
      </c>
      <c r="B74" s="175"/>
      <c r="C74" s="175"/>
      <c r="D74" s="175"/>
      <c r="E74" s="175"/>
      <c r="F74" s="175"/>
      <c r="G74" s="175"/>
      <c r="H74" s="152"/>
    </row>
    <row r="75" customFormat="false" ht="18" hidden="false" customHeight="true" outlineLevel="0" collapsed="false">
      <c r="A75" s="175"/>
      <c r="B75" s="175"/>
      <c r="C75" s="175"/>
      <c r="D75" s="175"/>
      <c r="E75" s="175"/>
      <c r="F75" s="175"/>
      <c r="G75" s="175"/>
      <c r="H75" s="152"/>
    </row>
    <row r="76" customFormat="false" ht="3.75" hidden="false" customHeight="true" outlineLevel="0" collapsed="false">
      <c r="H76" s="152"/>
    </row>
    <row r="77" customFormat="false" ht="18" hidden="false" customHeight="true" outlineLevel="0" collapsed="false">
      <c r="A77" s="174" t="s">
        <v>736</v>
      </c>
      <c r="B77" s="175"/>
      <c r="C77" s="175"/>
      <c r="D77" s="175"/>
      <c r="E77" s="175"/>
      <c r="F77" s="175"/>
      <c r="G77" s="175"/>
      <c r="H77" s="152"/>
    </row>
    <row r="78" customFormat="false" ht="18" hidden="false" customHeight="true" outlineLevel="0" collapsed="false">
      <c r="A78" s="175"/>
      <c r="B78" s="175"/>
      <c r="C78" s="175"/>
      <c r="D78" s="175"/>
      <c r="E78" s="175"/>
      <c r="F78" s="175"/>
      <c r="G78" s="175"/>
      <c r="H78" s="152"/>
    </row>
    <row r="79" customFormat="false" ht="3.75" hidden="false" customHeight="true" outlineLevel="0" collapsed="false">
      <c r="H79" s="152"/>
    </row>
    <row r="80" customFormat="false" ht="18" hidden="false" customHeight="true" outlineLevel="0" collapsed="false">
      <c r="A80" s="174" t="s">
        <v>737</v>
      </c>
      <c r="B80" s="175"/>
      <c r="C80" s="175"/>
      <c r="D80" s="175"/>
      <c r="E80" s="175"/>
      <c r="F80" s="175"/>
      <c r="G80" s="175"/>
      <c r="H80" s="152"/>
    </row>
    <row r="81" customFormat="false" ht="18" hidden="false" customHeight="true" outlineLevel="0" collapsed="false">
      <c r="A81" s="175"/>
      <c r="B81" s="175"/>
      <c r="C81" s="175"/>
      <c r="D81" s="175"/>
      <c r="E81" s="175"/>
      <c r="F81" s="175"/>
      <c r="G81" s="175"/>
      <c r="H81" s="152"/>
    </row>
    <row r="82" customFormat="false" ht="3.75" hidden="false" customHeight="true" outlineLevel="0" collapsed="false">
      <c r="H82" s="152"/>
    </row>
    <row r="84" customFormat="false" ht="13.5" hidden="false" customHeight="true" outlineLevel="0" collapsed="false">
      <c r="A84" s="176" t="s">
        <v>738</v>
      </c>
      <c r="B84" s="176"/>
      <c r="C84" s="176"/>
      <c r="D84" s="176"/>
      <c r="E84" s="176"/>
      <c r="F84" s="176"/>
      <c r="G84" s="176"/>
    </row>
  </sheetData>
  <mergeCells count="23">
    <mergeCell ref="A1:H1"/>
    <mergeCell ref="A2:H2"/>
    <mergeCell ref="A4:C4"/>
    <mergeCell ref="F4:G4"/>
    <mergeCell ref="B5:C5"/>
    <mergeCell ref="B6:C6"/>
    <mergeCell ref="B7:C7"/>
    <mergeCell ref="B8:C8"/>
    <mergeCell ref="B9:C9"/>
    <mergeCell ref="A13:H13"/>
    <mergeCell ref="A25:H25"/>
    <mergeCell ref="A34:H34"/>
    <mergeCell ref="A44:H44"/>
    <mergeCell ref="A60:H60"/>
    <mergeCell ref="A67:H67"/>
    <mergeCell ref="A73:H73"/>
    <mergeCell ref="B74:G74"/>
    <mergeCell ref="A75:G75"/>
    <mergeCell ref="B77:G77"/>
    <mergeCell ref="A78:G78"/>
    <mergeCell ref="B80:G80"/>
    <mergeCell ref="A81:G81"/>
    <mergeCell ref="A84:G8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7"/>
    <col collapsed="false" customWidth="true" hidden="false" outlineLevel="0" max="3" min="3" style="1" width="22"/>
    <col collapsed="false" customWidth="true" hidden="false" outlineLevel="0" max="4" min="4" style="1" width="9"/>
    <col collapsed="false" customWidth="true" hidden="false" outlineLevel="0" max="5" min="5" style="1" width="8"/>
    <col collapsed="false" customWidth="true" hidden="false" outlineLevel="0" max="6" min="6" style="1" width="22"/>
    <col collapsed="false" customWidth="true" hidden="false" outlineLevel="0" max="7" min="7" style="1" width="12"/>
    <col collapsed="false" customWidth="true" hidden="false" outlineLevel="0" max="8" min="8" style="1" width="13"/>
  </cols>
  <sheetData>
    <row r="1" customFormat="false" ht="27.75" hidden="false" customHeight="true" outlineLevel="0" collapsed="false">
      <c r="A1" s="177" t="s">
        <v>739</v>
      </c>
      <c r="B1" s="177"/>
      <c r="C1" s="177"/>
      <c r="D1" s="177"/>
      <c r="E1" s="177"/>
      <c r="F1" s="177"/>
      <c r="G1" s="177"/>
      <c r="H1" s="177"/>
    </row>
    <row r="2" customFormat="false" ht="15" hidden="false" customHeight="true" outlineLevel="0" collapsed="false">
      <c r="A2" s="178" t="str">
        <f aca="false">'Material Takeoff'!B5</f>
        <v>Truesdell SFD</v>
      </c>
      <c r="B2" s="178"/>
      <c r="D2" s="179" t="n">
        <f aca="false">'Material Takeoff'!G9</f>
        <v>0</v>
      </c>
    </row>
    <row r="3" customFormat="false" ht="6" hidden="false" customHeight="true" outlineLevel="0" collapsed="false"/>
    <row r="4" customFormat="false" ht="15.75" hidden="false" customHeight="true" outlineLevel="0" collapsed="false">
      <c r="A4" s="180" t="s">
        <v>740</v>
      </c>
      <c r="B4" s="180"/>
      <c r="C4" s="180"/>
      <c r="D4" s="180"/>
      <c r="F4" s="181" t="s">
        <v>741</v>
      </c>
      <c r="G4" s="181"/>
      <c r="H4" s="182" t="n">
        <f aca="false">Settings!$C$35</f>
        <v>0.2</v>
      </c>
    </row>
    <row r="5" customFormat="false" ht="6" hidden="false" customHeight="true" outlineLevel="0" collapsed="false"/>
    <row r="6" customFormat="false" ht="19.5" hidden="false" customHeight="true" outlineLevel="0" collapsed="false">
      <c r="A6" s="159" t="s">
        <v>454</v>
      </c>
      <c r="B6" s="160" t="s">
        <v>455</v>
      </c>
      <c r="C6" s="159" t="s">
        <v>742</v>
      </c>
      <c r="D6" s="159" t="s">
        <v>495</v>
      </c>
      <c r="E6" s="159" t="s">
        <v>496</v>
      </c>
      <c r="F6" s="160" t="s">
        <v>743</v>
      </c>
      <c r="G6" s="183" t="s">
        <v>744</v>
      </c>
      <c r="H6" s="183" t="s">
        <v>745</v>
      </c>
    </row>
    <row r="7" customFormat="false" ht="15.75" hidden="false" customHeight="true" outlineLevel="0" collapsed="false">
      <c r="A7" s="162" t="s">
        <v>498</v>
      </c>
      <c r="B7" s="162"/>
      <c r="C7" s="162"/>
      <c r="D7" s="162"/>
      <c r="E7" s="162"/>
      <c r="F7" s="162"/>
      <c r="G7" s="162"/>
      <c r="H7" s="162"/>
    </row>
    <row r="8" customFormat="false" ht="16.5" hidden="false" customHeight="true" outlineLevel="0" collapsed="false">
      <c r="A8" s="163" t="n">
        <v>1</v>
      </c>
      <c r="B8" s="164" t="s">
        <v>499</v>
      </c>
      <c r="C8" s="184" t="s">
        <v>746</v>
      </c>
      <c r="D8" s="166" t="n">
        <f aca="false">'Material Takeoff'!F14</f>
        <v>12</v>
      </c>
      <c r="E8" s="163" t="s">
        <v>503</v>
      </c>
      <c r="F8" s="185" t="s">
        <v>502</v>
      </c>
      <c r="G8" s="186" t="n">
        <f aca="false">'Price Database'!$E$20*16/1000</f>
        <v>21.808</v>
      </c>
      <c r="H8" s="187" t="n">
        <f aca="false">IFERROR(D8*G8,0)</f>
        <v>261.696</v>
      </c>
    </row>
    <row r="9" customFormat="false" ht="16.5" hidden="false" customHeight="true" outlineLevel="0" collapsed="false">
      <c r="A9" s="168" t="n">
        <v>2</v>
      </c>
      <c r="B9" s="169" t="s">
        <v>505</v>
      </c>
      <c r="C9" s="188" t="s">
        <v>747</v>
      </c>
      <c r="D9" s="171" t="n">
        <f aca="false">'Material Takeoff'!F15</f>
        <v>4</v>
      </c>
      <c r="E9" s="168" t="s">
        <v>509</v>
      </c>
      <c r="F9" s="189" t="s">
        <v>508</v>
      </c>
      <c r="G9" s="190" t="n">
        <v>14.95</v>
      </c>
      <c r="H9" s="191" t="n">
        <f aca="false">IFERROR(D9*G9,0)</f>
        <v>59.8</v>
      </c>
    </row>
    <row r="10" customFormat="false" ht="16.5" hidden="false" customHeight="true" outlineLevel="0" collapsed="false">
      <c r="A10" s="163" t="n">
        <v>3</v>
      </c>
      <c r="B10" s="164" t="s">
        <v>511</v>
      </c>
      <c r="C10" s="184" t="s">
        <v>748</v>
      </c>
      <c r="D10" s="166" t="n">
        <f aca="false">'Material Takeoff'!F16</f>
        <v>4</v>
      </c>
      <c r="E10" s="163" t="s">
        <v>515</v>
      </c>
      <c r="F10" s="185" t="s">
        <v>514</v>
      </c>
      <c r="G10" s="192" t="n">
        <v>24.99</v>
      </c>
      <c r="H10" s="187" t="n">
        <f aca="false">IFERROR(D10*G10,0)</f>
        <v>99.96</v>
      </c>
    </row>
    <row r="11" customFormat="false" ht="16.5" hidden="false" customHeight="true" outlineLevel="0" collapsed="false">
      <c r="A11" s="168" t="n">
        <v>4</v>
      </c>
      <c r="B11" s="169" t="s">
        <v>517</v>
      </c>
      <c r="C11" s="188" t="s">
        <v>749</v>
      </c>
      <c r="D11" s="171" t="n">
        <f aca="false">'Material Takeoff'!F17</f>
        <v>1440</v>
      </c>
      <c r="E11" s="168" t="s">
        <v>521</v>
      </c>
      <c r="F11" s="189" t="s">
        <v>520</v>
      </c>
      <c r="G11" s="193" t="n">
        <f aca="false">'Price Database'!$E$16</f>
        <v>3.19</v>
      </c>
      <c r="H11" s="191" t="n">
        <f aca="false">IFERROR(D11*G11,0)</f>
        <v>4593.6</v>
      </c>
    </row>
    <row r="12" customFormat="false" ht="16.5" hidden="false" customHeight="true" outlineLevel="0" collapsed="false">
      <c r="A12" s="163" t="n">
        <v>5</v>
      </c>
      <c r="B12" s="164" t="s">
        <v>523</v>
      </c>
      <c r="C12" s="184" t="s">
        <v>750</v>
      </c>
      <c r="D12" s="166" t="n">
        <f aca="false">'Material Takeoff'!F18</f>
        <v>60</v>
      </c>
      <c r="E12" s="163" t="s">
        <v>527</v>
      </c>
      <c r="F12" s="185" t="s">
        <v>526</v>
      </c>
      <c r="G12" s="186" t="n">
        <f aca="false">'Price Database'!$E$14*32/1000</f>
        <v>38.24</v>
      </c>
      <c r="H12" s="187" t="n">
        <f aca="false">IFERROR(D12*G12,0)</f>
        <v>2294.4</v>
      </c>
    </row>
    <row r="13" customFormat="false" ht="16.5" hidden="false" customHeight="true" outlineLevel="0" collapsed="false">
      <c r="A13" s="168" t="n">
        <v>6</v>
      </c>
      <c r="B13" s="169" t="s">
        <v>529</v>
      </c>
      <c r="C13" s="188" t="s">
        <v>751</v>
      </c>
      <c r="D13" s="171" t="n">
        <f aca="false">'Material Takeoff'!F19</f>
        <v>24</v>
      </c>
      <c r="E13" s="168" t="s">
        <v>503</v>
      </c>
      <c r="F13" s="189" t="s">
        <v>531</v>
      </c>
      <c r="G13" s="193" t="n">
        <f aca="false">'Price Database'!$E$5*16/1000</f>
        <v>12.8</v>
      </c>
      <c r="H13" s="191" t="n">
        <f aca="false">IFERROR(D13*G13,0)</f>
        <v>307.2</v>
      </c>
    </row>
    <row r="14" customFormat="false" ht="16.5" hidden="false" customHeight="true" outlineLevel="0" collapsed="false">
      <c r="A14" s="163" t="n">
        <v>7</v>
      </c>
      <c r="B14" s="164" t="s">
        <v>533</v>
      </c>
      <c r="C14" s="184" t="s">
        <v>752</v>
      </c>
      <c r="D14" s="166" t="n">
        <f aca="false">'Material Takeoff'!F20</f>
        <v>143</v>
      </c>
      <c r="E14" s="163" t="s">
        <v>503</v>
      </c>
      <c r="F14" s="185" t="s">
        <v>535</v>
      </c>
      <c r="G14" s="186" t="n">
        <f aca="false">'Price Database'!$E$8*8.71875/1000</f>
        <v>6.870375</v>
      </c>
      <c r="H14" s="187" t="n">
        <f aca="false">IFERROR(D14*G14,0)</f>
        <v>982.463625</v>
      </c>
    </row>
    <row r="15" customFormat="false" ht="16.5" hidden="false" customHeight="true" outlineLevel="0" collapsed="false">
      <c r="A15" s="168" t="n">
        <v>8</v>
      </c>
      <c r="B15" s="169" t="s">
        <v>537</v>
      </c>
      <c r="C15" s="188" t="s">
        <v>753</v>
      </c>
      <c r="D15" s="171" t="n">
        <f aca="false">'Material Takeoff'!F21</f>
        <v>12</v>
      </c>
      <c r="E15" s="168" t="s">
        <v>527</v>
      </c>
      <c r="F15" s="189" t="s">
        <v>540</v>
      </c>
      <c r="G15" s="193" t="n">
        <f aca="false">'Price Database'!$E$11*32/1000</f>
        <v>11.904</v>
      </c>
      <c r="H15" s="191" t="n">
        <f aca="false">IFERROR(D15*G15,0)</f>
        <v>142.848</v>
      </c>
    </row>
    <row r="16" customFormat="false" ht="16.5" hidden="false" customHeight="true" outlineLevel="0" collapsed="false">
      <c r="A16" s="163" t="n">
        <v>9</v>
      </c>
      <c r="B16" s="164" t="s">
        <v>542</v>
      </c>
      <c r="C16" s="184" t="s">
        <v>754</v>
      </c>
      <c r="D16" s="166" t="n">
        <f aca="false">'Material Takeoff'!F22</f>
        <v>4</v>
      </c>
      <c r="E16" s="163" t="s">
        <v>515</v>
      </c>
      <c r="F16" s="185" t="s">
        <v>545</v>
      </c>
      <c r="G16" s="192" t="n">
        <v>64.99</v>
      </c>
      <c r="H16" s="187" t="n">
        <f aca="false">IFERROR(D16*G16,0)</f>
        <v>259.96</v>
      </c>
    </row>
    <row r="17" customFormat="false" ht="16.5" hidden="false" customHeight="true" outlineLevel="0" collapsed="false">
      <c r="A17" s="168" t="n">
        <v>10</v>
      </c>
      <c r="B17" s="169" t="s">
        <v>547</v>
      </c>
      <c r="C17" s="188" t="s">
        <v>755</v>
      </c>
      <c r="D17" s="171" t="n">
        <f aca="false">'Material Takeoff'!F23</f>
        <v>3</v>
      </c>
      <c r="E17" s="168" t="s">
        <v>515</v>
      </c>
      <c r="F17" s="189" t="s">
        <v>550</v>
      </c>
      <c r="G17" s="190" t="n">
        <v>48.99</v>
      </c>
      <c r="H17" s="191" t="n">
        <f aca="false">IFERROR(D17*G17,0)</f>
        <v>146.97</v>
      </c>
    </row>
    <row r="18" customFormat="false" ht="16.5" hidden="false" customHeight="true" outlineLevel="0" collapsed="false">
      <c r="A18" s="163" t="n">
        <v>11</v>
      </c>
      <c r="B18" s="164" t="s">
        <v>552</v>
      </c>
      <c r="C18" s="184" t="s">
        <v>756</v>
      </c>
      <c r="D18" s="166" t="n">
        <f aca="false">'Material Takeoff'!F24</f>
        <v>1</v>
      </c>
      <c r="E18" s="163" t="s">
        <v>515</v>
      </c>
      <c r="F18" s="185" t="s">
        <v>555</v>
      </c>
      <c r="G18" s="192" t="n">
        <v>52</v>
      </c>
      <c r="H18" s="187" t="n">
        <f aca="false">IFERROR(D18*G18,0)</f>
        <v>52</v>
      </c>
    </row>
    <row r="19" customFormat="false" ht="15" hidden="false" customHeight="true" outlineLevel="0" collapsed="false">
      <c r="A19" s="194" t="s">
        <v>757</v>
      </c>
      <c r="B19" s="194"/>
      <c r="C19" s="194"/>
      <c r="D19" s="194"/>
      <c r="E19" s="194"/>
      <c r="F19" s="194"/>
      <c r="G19" s="194"/>
      <c r="H19" s="195" t="n">
        <f aca="false">SUM(H8:H18)</f>
        <v>9200.897625</v>
      </c>
    </row>
    <row r="20" customFormat="false" ht="15.75" hidden="false" customHeight="true" outlineLevel="0" collapsed="false">
      <c r="A20" s="162" t="s">
        <v>557</v>
      </c>
      <c r="B20" s="162"/>
      <c r="C20" s="162"/>
      <c r="D20" s="162"/>
      <c r="E20" s="162"/>
      <c r="F20" s="162"/>
      <c r="G20" s="162"/>
      <c r="H20" s="162"/>
    </row>
    <row r="21" customFormat="false" ht="16.5" hidden="false" customHeight="true" outlineLevel="0" collapsed="false">
      <c r="A21" s="163" t="n">
        <v>12</v>
      </c>
      <c r="B21" s="164" t="s">
        <v>558</v>
      </c>
      <c r="C21" s="184" t="s">
        <v>751</v>
      </c>
      <c r="D21" s="166" t="n">
        <f aca="false">'Material Takeoff'!F26</f>
        <v>45</v>
      </c>
      <c r="E21" s="163" t="s">
        <v>503</v>
      </c>
      <c r="F21" s="185" t="s">
        <v>559</v>
      </c>
      <c r="G21" s="186" t="n">
        <f aca="false">'Price Database'!$E$5*16/1000</f>
        <v>12.8</v>
      </c>
      <c r="H21" s="187" t="n">
        <f aca="false">IFERROR(D21*G21,0)</f>
        <v>576</v>
      </c>
    </row>
    <row r="22" customFormat="false" ht="16.5" hidden="false" customHeight="true" outlineLevel="0" collapsed="false">
      <c r="A22" s="168" t="n">
        <v>13</v>
      </c>
      <c r="B22" s="169" t="s">
        <v>561</v>
      </c>
      <c r="C22" s="188" t="s">
        <v>752</v>
      </c>
      <c r="D22" s="171" t="n">
        <f aca="false">'Material Takeoff'!F27</f>
        <v>164</v>
      </c>
      <c r="E22" s="168" t="s">
        <v>503</v>
      </c>
      <c r="F22" s="189" t="s">
        <v>562</v>
      </c>
      <c r="G22" s="193" t="n">
        <f aca="false">'Price Database'!$E$8*8.71875/1000</f>
        <v>6.870375</v>
      </c>
      <c r="H22" s="191" t="n">
        <f aca="false">IFERROR(D22*G22,0)</f>
        <v>1126.7415</v>
      </c>
    </row>
    <row r="23" customFormat="false" ht="16.5" hidden="false" customHeight="true" outlineLevel="0" collapsed="false">
      <c r="A23" s="163" t="n">
        <v>14</v>
      </c>
      <c r="B23" s="164" t="s">
        <v>564</v>
      </c>
      <c r="C23" s="184" t="s">
        <v>758</v>
      </c>
      <c r="D23" s="166" t="n">
        <f aca="false">'Material Takeoff'!F28</f>
        <v>53</v>
      </c>
      <c r="E23" s="163" t="s">
        <v>527</v>
      </c>
      <c r="F23" s="185" t="s">
        <v>566</v>
      </c>
      <c r="G23" s="186" t="n">
        <f aca="false">'Price Database'!$E$12*36/1000</f>
        <v>14.94</v>
      </c>
      <c r="H23" s="187" t="n">
        <f aca="false">IFERROR(D23*G23,0)</f>
        <v>791.82</v>
      </c>
    </row>
    <row r="24" customFormat="false" ht="16.5" hidden="false" customHeight="true" outlineLevel="0" collapsed="false">
      <c r="A24" s="168" t="n">
        <v>15</v>
      </c>
      <c r="B24" s="169" t="s">
        <v>568</v>
      </c>
      <c r="C24" s="188" t="s">
        <v>759</v>
      </c>
      <c r="D24" s="171" t="n">
        <f aca="false">'Material Takeoff'!F29</f>
        <v>0</v>
      </c>
      <c r="E24" s="168" t="s">
        <v>503</v>
      </c>
      <c r="F24" s="189" t="s">
        <v>571</v>
      </c>
      <c r="G24" s="193" t="n">
        <f aca="false">'Price Database'!$E$9*46.66667/1000</f>
        <v>46.62000333</v>
      </c>
      <c r="H24" s="191" t="n">
        <f aca="false">IFERROR(D24*G24,0)</f>
        <v>0</v>
      </c>
    </row>
    <row r="25" customFormat="false" ht="16.5" hidden="false" customHeight="true" outlineLevel="0" collapsed="false">
      <c r="A25" s="163" t="n">
        <v>16</v>
      </c>
      <c r="B25" s="164" t="s">
        <v>573</v>
      </c>
      <c r="C25" s="184" t="s">
        <v>760</v>
      </c>
      <c r="D25" s="166" t="n">
        <f aca="false">'Material Takeoff'!F30</f>
        <v>0</v>
      </c>
      <c r="E25" s="163" t="s">
        <v>521</v>
      </c>
      <c r="F25" s="185" t="s">
        <v>576</v>
      </c>
      <c r="G25" s="186" t="n">
        <f aca="false">'Price Database'!$E$18</f>
        <v>22.29</v>
      </c>
      <c r="H25" s="187" t="n">
        <f aca="false">IFERROR(D25*G25,0)</f>
        <v>0</v>
      </c>
    </row>
    <row r="26" customFormat="false" ht="16.5" hidden="false" customHeight="true" outlineLevel="0" collapsed="false">
      <c r="A26" s="168" t="n">
        <v>17</v>
      </c>
      <c r="B26" s="169" t="s">
        <v>577</v>
      </c>
      <c r="C26" s="188" t="s">
        <v>761</v>
      </c>
      <c r="D26" s="171" t="n">
        <f aca="false">'Material Takeoff'!F31</f>
        <v>47</v>
      </c>
      <c r="E26" s="168" t="s">
        <v>503</v>
      </c>
      <c r="F26" s="189" t="s">
        <v>579</v>
      </c>
      <c r="G26" s="193" t="n">
        <f aca="false">'Price Database'!$E$6*10.66667/1000</f>
        <v>7.94666915</v>
      </c>
      <c r="H26" s="191" t="n">
        <f aca="false">IFERROR(D26*G26,0)</f>
        <v>373.49345005</v>
      </c>
    </row>
    <row r="27" customFormat="false" ht="16.5" hidden="false" customHeight="true" outlineLevel="0" collapsed="false">
      <c r="A27" s="163" t="n">
        <v>18</v>
      </c>
      <c r="B27" s="164" t="s">
        <v>581</v>
      </c>
      <c r="C27" s="184" t="s">
        <v>762</v>
      </c>
      <c r="D27" s="166" t="n">
        <f aca="false">'Material Takeoff'!F32</f>
        <v>195</v>
      </c>
      <c r="E27" s="163" t="s">
        <v>503</v>
      </c>
      <c r="F27" s="185" t="s">
        <v>583</v>
      </c>
      <c r="G27" s="186" t="n">
        <f aca="false">'Price Database'!$E$7*5.8125/1000</f>
        <v>4.2954375</v>
      </c>
      <c r="H27" s="187" t="n">
        <f aca="false">IFERROR(D27*G27,0)</f>
        <v>837.6103125</v>
      </c>
    </row>
    <row r="28" customFormat="false" ht="16.5" hidden="false" customHeight="true" outlineLevel="0" collapsed="false">
      <c r="A28" s="168" t="n">
        <v>19</v>
      </c>
      <c r="B28" s="169" t="s">
        <v>585</v>
      </c>
      <c r="C28" s="188" t="s">
        <v>763</v>
      </c>
      <c r="D28" s="171" t="n">
        <f aca="false">'Material Takeoff'!F33</f>
        <v>0</v>
      </c>
      <c r="E28" s="168" t="s">
        <v>503</v>
      </c>
      <c r="F28" s="189" t="s">
        <v>587</v>
      </c>
      <c r="G28" s="193" t="n">
        <f aca="false">'Price Database'!$E$20*9.33333/1000</f>
        <v>12.72132879</v>
      </c>
      <c r="H28" s="191" t="n">
        <f aca="false">IFERROR(D28*G28,0)</f>
        <v>0</v>
      </c>
    </row>
    <row r="29" customFormat="false" ht="15" hidden="false" customHeight="true" outlineLevel="0" collapsed="false">
      <c r="A29" s="194" t="s">
        <v>764</v>
      </c>
      <c r="B29" s="194"/>
      <c r="C29" s="194"/>
      <c r="D29" s="194"/>
      <c r="E29" s="194"/>
      <c r="F29" s="194"/>
      <c r="G29" s="194"/>
      <c r="H29" s="195" t="n">
        <f aca="false">SUM(H21:H28)</f>
        <v>3705.66526255</v>
      </c>
    </row>
    <row r="30" customFormat="false" ht="15.75" hidden="false" customHeight="true" outlineLevel="0" collapsed="false">
      <c r="A30" s="162" t="s">
        <v>588</v>
      </c>
      <c r="B30" s="162"/>
      <c r="C30" s="162"/>
      <c r="D30" s="162"/>
      <c r="E30" s="162"/>
      <c r="F30" s="162"/>
      <c r="G30" s="162"/>
      <c r="H30" s="162"/>
    </row>
    <row r="31" customFormat="false" ht="16.5" hidden="false" customHeight="true" outlineLevel="0" collapsed="false">
      <c r="A31" s="163" t="n">
        <v>20</v>
      </c>
      <c r="B31" s="164" t="s">
        <v>589</v>
      </c>
      <c r="C31" s="184" t="s">
        <v>753</v>
      </c>
      <c r="D31" s="166" t="n">
        <f aca="false">'Material Takeoff'!F35</f>
        <v>112</v>
      </c>
      <c r="E31" s="163" t="s">
        <v>527</v>
      </c>
      <c r="F31" s="185" t="s">
        <v>590</v>
      </c>
      <c r="G31" s="186" t="n">
        <f aca="false">'Price Database'!$E$11*32/1000</f>
        <v>11.904</v>
      </c>
      <c r="H31" s="187" t="n">
        <f aca="false">IFERROR(D31*G31,0)</f>
        <v>1333.248</v>
      </c>
    </row>
    <row r="32" customFormat="false" ht="16.5" hidden="false" customHeight="true" outlineLevel="0" collapsed="false">
      <c r="A32" s="168" t="n">
        <v>21</v>
      </c>
      <c r="B32" s="169" t="s">
        <v>592</v>
      </c>
      <c r="C32" s="188" t="s">
        <v>765</v>
      </c>
      <c r="D32" s="171" t="n">
        <f aca="false">'Material Takeoff'!F36</f>
        <v>51</v>
      </c>
      <c r="E32" s="168" t="s">
        <v>515</v>
      </c>
      <c r="F32" s="189" t="s">
        <v>595</v>
      </c>
      <c r="G32" s="190" t="n">
        <v>15</v>
      </c>
      <c r="H32" s="191" t="n">
        <f aca="false">IFERROR(D32*G32,0)</f>
        <v>765</v>
      </c>
    </row>
    <row r="33" customFormat="false" ht="16.5" hidden="false" customHeight="true" outlineLevel="0" collapsed="false">
      <c r="A33" s="163" t="n">
        <v>22</v>
      </c>
      <c r="B33" s="164" t="s">
        <v>597</v>
      </c>
      <c r="C33" s="184" t="s">
        <v>766</v>
      </c>
      <c r="D33" s="166" t="n">
        <f aca="false">'Material Takeoff'!F37</f>
        <v>3</v>
      </c>
      <c r="E33" s="163" t="s">
        <v>503</v>
      </c>
      <c r="F33" s="185" t="s">
        <v>600</v>
      </c>
      <c r="G33" s="186" t="n">
        <f aca="false">'Price Database'!$E$32*26.66667/1000</f>
        <v>104.24001303</v>
      </c>
      <c r="H33" s="187" t="n">
        <f aca="false">IFERROR(D33*G33,0)</f>
        <v>312.72003909</v>
      </c>
    </row>
    <row r="34" customFormat="false" ht="16.5" hidden="false" customHeight="true" outlineLevel="0" collapsed="false">
      <c r="A34" s="168" t="n">
        <v>23</v>
      </c>
      <c r="B34" s="169" t="s">
        <v>602</v>
      </c>
      <c r="C34" s="188" t="s">
        <v>767</v>
      </c>
      <c r="D34" s="171" t="n">
        <f aca="false">'Material Takeoff'!F38</f>
        <v>10</v>
      </c>
      <c r="E34" s="168" t="s">
        <v>503</v>
      </c>
      <c r="F34" s="189" t="s">
        <v>604</v>
      </c>
      <c r="G34" s="193" t="n">
        <f aca="false">'Price Database'!$E$31*(1.25*8*20/12)/1000</f>
        <v>76.15</v>
      </c>
      <c r="H34" s="191" t="n">
        <f aca="false">IFERROR(D34*G34,0)</f>
        <v>761.5</v>
      </c>
    </row>
    <row r="35" customFormat="false" ht="16.5" hidden="false" customHeight="true" outlineLevel="0" collapsed="false">
      <c r="A35" s="163" t="n">
        <v>24</v>
      </c>
      <c r="B35" s="164" t="s">
        <v>606</v>
      </c>
      <c r="C35" s="184" t="s">
        <v>768</v>
      </c>
      <c r="D35" s="166" t="n">
        <f aca="false">'Material Takeoff'!F39</f>
        <v>17</v>
      </c>
      <c r="E35" s="163" t="s">
        <v>503</v>
      </c>
      <c r="F35" s="185" t="s">
        <v>609</v>
      </c>
      <c r="G35" s="192" t="n">
        <v>7.5</v>
      </c>
      <c r="H35" s="187" t="n">
        <f aca="false">IFERROR(D35*G35,0)</f>
        <v>127.5</v>
      </c>
    </row>
    <row r="36" customFormat="false" ht="16.5" hidden="false" customHeight="true" outlineLevel="0" collapsed="false">
      <c r="A36" s="168" t="n">
        <v>25</v>
      </c>
      <c r="B36" s="169" t="s">
        <v>611</v>
      </c>
      <c r="C36" s="188" t="s">
        <v>769</v>
      </c>
      <c r="D36" s="171" t="n">
        <f aca="false">'Material Takeoff'!F40</f>
        <v>3</v>
      </c>
      <c r="E36" s="168" t="s">
        <v>503</v>
      </c>
      <c r="F36" s="189" t="s">
        <v>613</v>
      </c>
      <c r="G36" s="193" t="n">
        <f aca="false">'Price Database'!$E$6*8/1000</f>
        <v>5.96</v>
      </c>
      <c r="H36" s="191" t="n">
        <f aca="false">IFERROR(D36*G36,0)</f>
        <v>17.88</v>
      </c>
    </row>
    <row r="37" customFormat="false" ht="16.5" hidden="false" customHeight="true" outlineLevel="0" collapsed="false">
      <c r="A37" s="163" t="n">
        <v>26</v>
      </c>
      <c r="B37" s="164" t="s">
        <v>615</v>
      </c>
      <c r="C37" s="184" t="s">
        <v>770</v>
      </c>
      <c r="D37" s="166" t="n">
        <f aca="false">'Material Takeoff'!F41</f>
        <v>18</v>
      </c>
      <c r="E37" s="163" t="s">
        <v>503</v>
      </c>
      <c r="F37" s="185" t="s">
        <v>618</v>
      </c>
      <c r="G37" s="192" t="n">
        <v>34.99</v>
      </c>
      <c r="H37" s="187" t="n">
        <f aca="false">IFERROR(D37*G37,0)</f>
        <v>629.82</v>
      </c>
    </row>
    <row r="38" customFormat="false" ht="16.5" hidden="false" customHeight="true" outlineLevel="0" collapsed="false">
      <c r="A38" s="168" t="n">
        <v>27</v>
      </c>
      <c r="B38" s="169" t="s">
        <v>620</v>
      </c>
      <c r="C38" s="188" t="s">
        <v>771</v>
      </c>
      <c r="D38" s="171" t="n">
        <f aca="false">'Material Takeoff'!F42</f>
        <v>2</v>
      </c>
      <c r="E38" s="168" t="s">
        <v>503</v>
      </c>
      <c r="F38" s="189" t="s">
        <v>622</v>
      </c>
      <c r="G38" s="190" t="n">
        <v>27.99</v>
      </c>
      <c r="H38" s="191" t="n">
        <f aca="false">IFERROR(D38*G38,0)</f>
        <v>55.98</v>
      </c>
    </row>
    <row r="39" customFormat="false" ht="16.5" hidden="false" customHeight="true" outlineLevel="0" collapsed="false">
      <c r="A39" s="163" t="n">
        <v>28</v>
      </c>
      <c r="B39" s="164" t="s">
        <v>624</v>
      </c>
      <c r="C39" s="184" t="s">
        <v>772</v>
      </c>
      <c r="D39" s="166" t="n">
        <f aca="false">'Material Takeoff'!F43</f>
        <v>2</v>
      </c>
      <c r="E39" s="163" t="s">
        <v>503</v>
      </c>
      <c r="F39" s="185" t="s">
        <v>626</v>
      </c>
      <c r="G39" s="186" t="n">
        <f aca="false">'Price Database'!$E$34*6.66667/1000</f>
        <v>25.1799459233</v>
      </c>
      <c r="H39" s="187" t="n">
        <f aca="false">IFERROR(D39*G39,0)</f>
        <v>50.3598918466</v>
      </c>
    </row>
    <row r="40" customFormat="false" ht="15" hidden="false" customHeight="true" outlineLevel="0" collapsed="false">
      <c r="A40" s="194" t="s">
        <v>773</v>
      </c>
      <c r="B40" s="194"/>
      <c r="C40" s="194"/>
      <c r="D40" s="194"/>
      <c r="E40" s="194"/>
      <c r="F40" s="194"/>
      <c r="G40" s="194"/>
      <c r="H40" s="195" t="n">
        <f aca="false">SUM(H31:H39)</f>
        <v>4054.0079309366</v>
      </c>
    </row>
    <row r="41" customFormat="false" ht="15.75" hidden="false" customHeight="true" outlineLevel="0" collapsed="false">
      <c r="A41" s="162" t="s">
        <v>628</v>
      </c>
      <c r="B41" s="162"/>
      <c r="C41" s="162"/>
      <c r="D41" s="162"/>
      <c r="E41" s="162"/>
      <c r="F41" s="162"/>
      <c r="G41" s="162"/>
      <c r="H41" s="162"/>
    </row>
    <row r="42" customFormat="false" ht="16.5" hidden="false" customHeight="true" outlineLevel="0" collapsed="false">
      <c r="A42" s="163" t="n">
        <v>29</v>
      </c>
      <c r="B42" s="164" t="s">
        <v>629</v>
      </c>
      <c r="C42" s="184" t="s">
        <v>774</v>
      </c>
      <c r="D42" s="166" t="n">
        <f aca="false">'Material Takeoff'!F45</f>
        <v>2</v>
      </c>
      <c r="E42" s="163" t="s">
        <v>509</v>
      </c>
      <c r="F42" s="185" t="s">
        <v>632</v>
      </c>
      <c r="G42" s="192" t="n">
        <v>209.99</v>
      </c>
      <c r="H42" s="187" t="n">
        <f aca="false">IFERROR(D42*G42,0)</f>
        <v>419.98</v>
      </c>
    </row>
    <row r="43" customFormat="false" ht="16.5" hidden="false" customHeight="true" outlineLevel="0" collapsed="false">
      <c r="A43" s="168" t="n">
        <v>30</v>
      </c>
      <c r="B43" s="169" t="s">
        <v>634</v>
      </c>
      <c r="C43" s="188" t="s">
        <v>775</v>
      </c>
      <c r="D43" s="171" t="n">
        <f aca="false">'Material Takeoff'!F46</f>
        <v>4</v>
      </c>
      <c r="E43" s="168" t="s">
        <v>509</v>
      </c>
      <c r="F43" s="189" t="s">
        <v>637</v>
      </c>
      <c r="G43" s="190" t="n">
        <v>21.99</v>
      </c>
      <c r="H43" s="191" t="n">
        <f aca="false">IFERROR(D43*G43,0)</f>
        <v>87.96</v>
      </c>
    </row>
    <row r="44" customFormat="false" ht="16.5" hidden="false" customHeight="true" outlineLevel="0" collapsed="false">
      <c r="A44" s="163" t="n">
        <v>31</v>
      </c>
      <c r="B44" s="164" t="s">
        <v>638</v>
      </c>
      <c r="C44" s="184" t="s">
        <v>776</v>
      </c>
      <c r="D44" s="166" t="n">
        <f aca="false">'Material Takeoff'!F47</f>
        <v>4</v>
      </c>
      <c r="E44" s="163" t="s">
        <v>509</v>
      </c>
      <c r="F44" s="185" t="s">
        <v>640</v>
      </c>
      <c r="G44" s="192" t="n">
        <v>17.99</v>
      </c>
      <c r="H44" s="187" t="n">
        <f aca="false">IFERROR(D44*G44,0)</f>
        <v>71.96</v>
      </c>
    </row>
    <row r="45" customFormat="false" ht="16.5" hidden="false" customHeight="true" outlineLevel="0" collapsed="false">
      <c r="A45" s="168" t="n">
        <v>32</v>
      </c>
      <c r="B45" s="169" t="s">
        <v>641</v>
      </c>
      <c r="C45" s="188" t="s">
        <v>777</v>
      </c>
      <c r="D45" s="171" t="n">
        <f aca="false">'Material Takeoff'!F48</f>
        <v>4</v>
      </c>
      <c r="E45" s="168" t="s">
        <v>509</v>
      </c>
      <c r="F45" s="189" t="s">
        <v>643</v>
      </c>
      <c r="G45" s="190" t="n">
        <v>8.49</v>
      </c>
      <c r="H45" s="191" t="n">
        <f aca="false">IFERROR(D45*G45,0)</f>
        <v>33.96</v>
      </c>
    </row>
    <row r="46" customFormat="false" ht="16.5" hidden="false" customHeight="true" outlineLevel="0" collapsed="false">
      <c r="A46" s="163" t="n">
        <v>33</v>
      </c>
      <c r="B46" s="164" t="s">
        <v>645</v>
      </c>
      <c r="C46" s="184" t="s">
        <v>778</v>
      </c>
      <c r="D46" s="166" t="n">
        <f aca="false">'Material Takeoff'!F49</f>
        <v>19</v>
      </c>
      <c r="E46" s="163" t="s">
        <v>649</v>
      </c>
      <c r="F46" s="185" t="s">
        <v>648</v>
      </c>
      <c r="G46" s="186" t="n">
        <f aca="false">'Price Database'!$E$27*100/1000</f>
        <v>156.6</v>
      </c>
      <c r="H46" s="187" t="n">
        <f aca="false">IFERROR(D46*G46,0)</f>
        <v>2975.4</v>
      </c>
    </row>
    <row r="47" customFormat="false" ht="16.5" hidden="false" customHeight="true" outlineLevel="0" collapsed="false">
      <c r="A47" s="168" t="n">
        <v>34</v>
      </c>
      <c r="B47" s="169" t="s">
        <v>651</v>
      </c>
      <c r="C47" s="188" t="s">
        <v>779</v>
      </c>
      <c r="D47" s="171" t="n">
        <f aca="false">'Material Takeoff'!F50</f>
        <v>12</v>
      </c>
      <c r="E47" s="168" t="s">
        <v>503</v>
      </c>
      <c r="F47" s="189" t="s">
        <v>653</v>
      </c>
      <c r="G47" s="193" t="n">
        <f aca="false">'Price Database'!$E$30*8.33333/1000</f>
        <v>36.1000688933</v>
      </c>
      <c r="H47" s="191" t="n">
        <f aca="false">IFERROR(D47*G47,0)</f>
        <v>433.2008267196</v>
      </c>
    </row>
    <row r="48" customFormat="false" ht="16.5" hidden="false" customHeight="true" outlineLevel="0" collapsed="false">
      <c r="A48" s="163" t="n">
        <v>35</v>
      </c>
      <c r="B48" s="164" t="s">
        <v>655</v>
      </c>
      <c r="C48" s="184" t="s">
        <v>780</v>
      </c>
      <c r="D48" s="166" t="n">
        <f aca="false">'Material Takeoff'!F51</f>
        <v>0</v>
      </c>
      <c r="E48" s="163" t="s">
        <v>503</v>
      </c>
      <c r="F48" s="185" t="s">
        <v>657</v>
      </c>
      <c r="G48" s="186" t="n">
        <f aca="false">'Price Database'!$E$30*6.66667/1000</f>
        <v>28.8800811067</v>
      </c>
      <c r="H48" s="187" t="n">
        <f aca="false">IFERROR(D48*G48,0)</f>
        <v>0</v>
      </c>
    </row>
    <row r="49" customFormat="false" ht="16.5" hidden="false" customHeight="true" outlineLevel="0" collapsed="false">
      <c r="A49" s="168" t="n">
        <v>36</v>
      </c>
      <c r="B49" s="169" t="s">
        <v>658</v>
      </c>
      <c r="C49" s="188" t="s">
        <v>781</v>
      </c>
      <c r="D49" s="171" t="n">
        <f aca="false">'Material Takeoff'!F52</f>
        <v>2</v>
      </c>
      <c r="E49" s="168" t="s">
        <v>503</v>
      </c>
      <c r="F49" s="189" t="s">
        <v>660</v>
      </c>
      <c r="G49" s="193" t="n">
        <f aca="false">'Price Database'!$E$31*12.5/1000</f>
        <v>57.1125</v>
      </c>
      <c r="H49" s="191" t="n">
        <f aca="false">IFERROR(D49*G49,0)</f>
        <v>114.225</v>
      </c>
    </row>
    <row r="50" customFormat="false" ht="16.5" hidden="false" customHeight="true" outlineLevel="0" collapsed="false">
      <c r="A50" s="163" t="n">
        <v>37</v>
      </c>
      <c r="B50" s="164" t="s">
        <v>662</v>
      </c>
      <c r="C50" s="184" t="s">
        <v>782</v>
      </c>
      <c r="D50" s="166" t="n">
        <f aca="false">'Material Takeoff'!F53</f>
        <v>13</v>
      </c>
      <c r="E50" s="163" t="s">
        <v>503</v>
      </c>
      <c r="F50" s="185" t="s">
        <v>664</v>
      </c>
      <c r="G50" s="186" t="n">
        <f aca="false">'Price Database'!$E$31*(1.25*8*16/12)/1000</f>
        <v>60.92</v>
      </c>
      <c r="H50" s="187" t="n">
        <f aca="false">IFERROR(D50*G50,0)</f>
        <v>791.96</v>
      </c>
    </row>
    <row r="51" customFormat="false" ht="16.5" hidden="false" customHeight="true" outlineLevel="0" collapsed="false">
      <c r="A51" s="168" t="n">
        <v>38</v>
      </c>
      <c r="B51" s="169" t="s">
        <v>666</v>
      </c>
      <c r="C51" s="188" t="s">
        <v>783</v>
      </c>
      <c r="D51" s="171" t="n">
        <f aca="false">'Material Takeoff'!F54</f>
        <v>8</v>
      </c>
      <c r="E51" s="168" t="s">
        <v>503</v>
      </c>
      <c r="F51" s="189" t="s">
        <v>669</v>
      </c>
      <c r="G51" s="190" t="n">
        <v>7.99</v>
      </c>
      <c r="H51" s="191" t="n">
        <f aca="false">IFERROR(D51*G51,0)</f>
        <v>63.92</v>
      </c>
    </row>
    <row r="52" customFormat="false" ht="16.5" hidden="false" customHeight="true" outlineLevel="0" collapsed="false">
      <c r="A52" s="163" t="n">
        <v>39</v>
      </c>
      <c r="B52" s="164" t="s">
        <v>671</v>
      </c>
      <c r="C52" s="184" t="s">
        <v>784</v>
      </c>
      <c r="D52" s="166" t="n">
        <f aca="false">'Material Takeoff'!F55</f>
        <v>3</v>
      </c>
      <c r="E52" s="163" t="s">
        <v>503</v>
      </c>
      <c r="F52" s="185" t="s">
        <v>673</v>
      </c>
      <c r="G52" s="186" t="n">
        <f aca="false">'Price Database'!$E$34*2.66667/1000</f>
        <v>10.0719859233</v>
      </c>
      <c r="H52" s="187" t="n">
        <f aca="false">IFERROR(D52*G52,0)</f>
        <v>30.2159577699</v>
      </c>
    </row>
    <row r="53" customFormat="false" ht="16.5" hidden="false" customHeight="true" outlineLevel="0" collapsed="false">
      <c r="A53" s="168" t="n">
        <v>40</v>
      </c>
      <c r="B53" s="169" t="s">
        <v>675</v>
      </c>
      <c r="C53" s="188" t="s">
        <v>785</v>
      </c>
      <c r="D53" s="171" t="n">
        <f aca="false">'Material Takeoff'!F56</f>
        <v>0</v>
      </c>
      <c r="E53" s="168" t="s">
        <v>527</v>
      </c>
      <c r="F53" s="189" t="s">
        <v>678</v>
      </c>
      <c r="G53" s="193" t="n">
        <f aca="false">'Price Database'!$E$28*32/1000</f>
        <v>50.624</v>
      </c>
      <c r="H53" s="191" t="n">
        <f aca="false">IFERROR(D53*G53,0)</f>
        <v>0</v>
      </c>
    </row>
    <row r="54" customFormat="false" ht="16.5" hidden="false" customHeight="true" outlineLevel="0" collapsed="false">
      <c r="A54" s="163" t="n">
        <v>41</v>
      </c>
      <c r="B54" s="164" t="s">
        <v>679</v>
      </c>
      <c r="C54" s="184" t="s">
        <v>786</v>
      </c>
      <c r="D54" s="166" t="n">
        <f aca="false">'Material Takeoff'!F57</f>
        <v>0</v>
      </c>
      <c r="E54" s="163" t="s">
        <v>503</v>
      </c>
      <c r="F54" s="185" t="s">
        <v>682</v>
      </c>
      <c r="G54" s="192" t="n">
        <v>14.99</v>
      </c>
      <c r="H54" s="187" t="n">
        <f aca="false">IFERROR(D54*G54,0)</f>
        <v>0</v>
      </c>
    </row>
    <row r="55" customFormat="false" ht="16.5" hidden="false" customHeight="true" outlineLevel="0" collapsed="false">
      <c r="A55" s="168" t="n">
        <v>42</v>
      </c>
      <c r="B55" s="169" t="s">
        <v>683</v>
      </c>
      <c r="C55" s="188" t="s">
        <v>787</v>
      </c>
      <c r="D55" s="171" t="n">
        <f aca="false">'Material Takeoff'!F58</f>
        <v>9</v>
      </c>
      <c r="E55" s="168" t="s">
        <v>687</v>
      </c>
      <c r="F55" s="189" t="s">
        <v>686</v>
      </c>
      <c r="G55" s="190" t="n">
        <v>5.19</v>
      </c>
      <c r="H55" s="191" t="n">
        <f aca="false">IFERROR(D55*G55,0)</f>
        <v>46.71</v>
      </c>
    </row>
    <row r="56" customFormat="false" ht="16.5" hidden="false" customHeight="true" outlineLevel="0" collapsed="false">
      <c r="A56" s="163" t="n">
        <v>43</v>
      </c>
      <c r="B56" s="164" t="s">
        <v>689</v>
      </c>
      <c r="C56" s="184" t="s">
        <v>788</v>
      </c>
      <c r="D56" s="166" t="n">
        <f aca="false">'Material Takeoff'!F59</f>
        <v>4</v>
      </c>
      <c r="E56" s="163" t="s">
        <v>515</v>
      </c>
      <c r="F56" s="185" t="s">
        <v>691</v>
      </c>
      <c r="G56" s="192" t="n">
        <v>67.99</v>
      </c>
      <c r="H56" s="187" t="n">
        <f aca="false">IFERROR(D56*G56,0)</f>
        <v>271.96</v>
      </c>
    </row>
    <row r="57" customFormat="false" ht="15" hidden="false" customHeight="true" outlineLevel="0" collapsed="false">
      <c r="A57" s="194" t="s">
        <v>789</v>
      </c>
      <c r="B57" s="194"/>
      <c r="C57" s="194"/>
      <c r="D57" s="194"/>
      <c r="E57" s="194"/>
      <c r="F57" s="194"/>
      <c r="G57" s="194"/>
      <c r="H57" s="195" t="n">
        <f aca="false">SUM(H42:H56)</f>
        <v>5341.4517844895</v>
      </c>
    </row>
    <row r="58" customFormat="false" ht="15.75" hidden="false" customHeight="true" outlineLevel="0" collapsed="false">
      <c r="A58" s="162" t="s">
        <v>693</v>
      </c>
      <c r="B58" s="162"/>
      <c r="C58" s="162"/>
      <c r="D58" s="162"/>
      <c r="E58" s="162"/>
      <c r="F58" s="162"/>
      <c r="G58" s="162"/>
      <c r="H58" s="162"/>
    </row>
    <row r="59" customFormat="false" ht="16.5" hidden="false" customHeight="true" outlineLevel="0" collapsed="false">
      <c r="A59" s="163" t="n">
        <v>44</v>
      </c>
      <c r="B59" s="164" t="s">
        <v>694</v>
      </c>
      <c r="C59" s="184" t="s">
        <v>790</v>
      </c>
      <c r="D59" s="166" t="n">
        <f aca="false">'Material Takeoff'!F61</f>
        <v>0</v>
      </c>
      <c r="E59" s="163" t="s">
        <v>503</v>
      </c>
      <c r="F59" s="185" t="s">
        <v>696</v>
      </c>
      <c r="G59" s="186" t="n">
        <f aca="false">'Price Database'!$E$20*16/1000</f>
        <v>21.808</v>
      </c>
      <c r="H59" s="187" t="n">
        <f aca="false">IFERROR(D59*G59,0)</f>
        <v>0</v>
      </c>
    </row>
    <row r="60" customFormat="false" ht="16.5" hidden="false" customHeight="true" outlineLevel="0" collapsed="false">
      <c r="A60" s="168" t="n">
        <v>45</v>
      </c>
      <c r="B60" s="169" t="s">
        <v>698</v>
      </c>
      <c r="C60" s="188" t="s">
        <v>791</v>
      </c>
      <c r="D60" s="171" t="n">
        <f aca="false">'Material Takeoff'!F62</f>
        <v>0</v>
      </c>
      <c r="E60" s="168" t="s">
        <v>521</v>
      </c>
      <c r="F60" s="189" t="s">
        <v>700</v>
      </c>
      <c r="G60" s="193" t="n">
        <f aca="false">'Price Database'!$E$21*(2*8/12)/1000</f>
        <v>1.684</v>
      </c>
      <c r="H60" s="191" t="n">
        <f aca="false">IFERROR(D60*G60,0)</f>
        <v>0</v>
      </c>
    </row>
    <row r="61" customFormat="false" ht="16.5" hidden="false" customHeight="true" outlineLevel="0" collapsed="false">
      <c r="A61" s="163" t="n">
        <v>46</v>
      </c>
      <c r="B61" s="164" t="s">
        <v>702</v>
      </c>
      <c r="C61" s="184" t="s">
        <v>792</v>
      </c>
      <c r="D61" s="166" t="n">
        <f aca="false">'Material Takeoff'!F63</f>
        <v>0</v>
      </c>
      <c r="E61" s="163" t="s">
        <v>503</v>
      </c>
      <c r="F61" s="185" t="s">
        <v>704</v>
      </c>
      <c r="G61" s="186" t="n">
        <f aca="false">'Price Database'!$E$22*16/1000</f>
        <v>26.752</v>
      </c>
      <c r="H61" s="187" t="n">
        <f aca="false">IFERROR(D61*G61,0)</f>
        <v>0</v>
      </c>
    </row>
    <row r="62" customFormat="false" ht="16.5" hidden="false" customHeight="true" outlineLevel="0" collapsed="false">
      <c r="A62" s="168" t="n">
        <v>47</v>
      </c>
      <c r="B62" s="169" t="s">
        <v>706</v>
      </c>
      <c r="C62" s="188" t="s">
        <v>793</v>
      </c>
      <c r="D62" s="171" t="n">
        <f aca="false">'Material Takeoff'!F64</f>
        <v>0</v>
      </c>
      <c r="E62" s="168" t="s">
        <v>503</v>
      </c>
      <c r="F62" s="189" t="s">
        <v>708</v>
      </c>
      <c r="G62" s="193" t="n">
        <f aca="false">'Price Database'!$E$23*36/1000</f>
        <v>67.788</v>
      </c>
      <c r="H62" s="191" t="n">
        <f aca="false">IFERROR(D62*G62,0)</f>
        <v>0</v>
      </c>
    </row>
    <row r="63" customFormat="false" ht="16.5" hidden="false" customHeight="true" outlineLevel="0" collapsed="false">
      <c r="A63" s="163" t="n">
        <v>48</v>
      </c>
      <c r="B63" s="164" t="s">
        <v>710</v>
      </c>
      <c r="C63" s="184" t="s">
        <v>794</v>
      </c>
      <c r="D63" s="166" t="n">
        <f aca="false">'Material Takeoff'!F65</f>
        <v>0</v>
      </c>
      <c r="E63" s="163" t="s">
        <v>503</v>
      </c>
      <c r="F63" s="185" t="s">
        <v>713</v>
      </c>
      <c r="G63" s="192" t="n">
        <v>54.99</v>
      </c>
      <c r="H63" s="187" t="n">
        <f aca="false">IFERROR(D63*G63,0)</f>
        <v>0</v>
      </c>
    </row>
    <row r="64" customFormat="false" ht="16.5" hidden="false" customHeight="true" outlineLevel="0" collapsed="false">
      <c r="A64" s="168" t="n">
        <v>49</v>
      </c>
      <c r="B64" s="169" t="s">
        <v>715</v>
      </c>
      <c r="C64" s="188" t="s">
        <v>795</v>
      </c>
      <c r="D64" s="171" t="n">
        <f aca="false">'Material Takeoff'!F66</f>
        <v>0</v>
      </c>
      <c r="E64" s="168" t="s">
        <v>718</v>
      </c>
      <c r="F64" s="189" t="s">
        <v>717</v>
      </c>
      <c r="G64" s="190" t="n">
        <v>249.99</v>
      </c>
      <c r="H64" s="191" t="n">
        <f aca="false">IFERROR(D64*G64,0)</f>
        <v>0</v>
      </c>
    </row>
    <row r="65" customFormat="false" ht="15" hidden="false" customHeight="true" outlineLevel="0" collapsed="false">
      <c r="A65" s="194" t="s">
        <v>796</v>
      </c>
      <c r="B65" s="194"/>
      <c r="C65" s="194"/>
      <c r="D65" s="194"/>
      <c r="E65" s="194"/>
      <c r="F65" s="194"/>
      <c r="G65" s="194"/>
      <c r="H65" s="195" t="n">
        <f aca="false">SUM(H59:H64)</f>
        <v>0</v>
      </c>
    </row>
    <row r="66" customFormat="false" ht="15.75" hidden="false" customHeight="true" outlineLevel="0" collapsed="false">
      <c r="A66" s="162" t="s">
        <v>720</v>
      </c>
      <c r="B66" s="162"/>
      <c r="C66" s="162"/>
      <c r="D66" s="162"/>
      <c r="E66" s="162"/>
      <c r="F66" s="162"/>
      <c r="G66" s="162"/>
      <c r="H66" s="162"/>
    </row>
    <row r="67" customFormat="false" ht="16.5" hidden="false" customHeight="true" outlineLevel="0" collapsed="false">
      <c r="A67" s="163" t="n">
        <v>50</v>
      </c>
      <c r="B67" s="164" t="s">
        <v>721</v>
      </c>
      <c r="C67" s="184" t="s">
        <v>797</v>
      </c>
      <c r="D67" s="166" t="n">
        <f aca="false">'Material Takeoff'!F68</f>
        <v>0</v>
      </c>
      <c r="E67" s="163" t="s">
        <v>503</v>
      </c>
      <c r="F67" s="185" t="s">
        <v>724</v>
      </c>
      <c r="G67" s="196" t="n">
        <v>0</v>
      </c>
      <c r="H67" s="187" t="n">
        <f aca="false">IFERROR(D67*G67,0)</f>
        <v>0</v>
      </c>
    </row>
    <row r="68" customFormat="false" ht="16.5" hidden="false" customHeight="true" outlineLevel="0" collapsed="false">
      <c r="A68" s="168" t="n">
        <v>51</v>
      </c>
      <c r="B68" s="169" t="s">
        <v>726</v>
      </c>
      <c r="C68" s="188" t="s">
        <v>798</v>
      </c>
      <c r="D68" s="171" t="n">
        <f aca="false">'Material Takeoff'!F69</f>
        <v>0</v>
      </c>
      <c r="E68" s="168" t="s">
        <v>503</v>
      </c>
      <c r="F68" s="189" t="s">
        <v>729</v>
      </c>
      <c r="G68" s="196" t="n">
        <v>0</v>
      </c>
      <c r="H68" s="191" t="n">
        <f aca="false">IFERROR(D68*G68,0)</f>
        <v>0</v>
      </c>
    </row>
    <row r="69" customFormat="false" ht="16.5" hidden="false" customHeight="true" outlineLevel="0" collapsed="false">
      <c r="A69" s="163" t="n">
        <v>52</v>
      </c>
      <c r="B69" s="164" t="s">
        <v>730</v>
      </c>
      <c r="C69" s="184" t="s">
        <v>798</v>
      </c>
      <c r="D69" s="166" t="n">
        <f aca="false">'Material Takeoff'!F70</f>
        <v>0</v>
      </c>
      <c r="E69" s="163" t="s">
        <v>503</v>
      </c>
      <c r="F69" s="185" t="s">
        <v>731</v>
      </c>
      <c r="G69" s="196" t="n">
        <v>0</v>
      </c>
      <c r="H69" s="187" t="n">
        <f aca="false">IFERROR(D69*G69,0)</f>
        <v>0</v>
      </c>
    </row>
    <row r="70" customFormat="false" ht="16.5" hidden="false" customHeight="true" outlineLevel="0" collapsed="false">
      <c r="A70" s="168" t="n">
        <v>53</v>
      </c>
      <c r="B70" s="169" t="s">
        <v>732</v>
      </c>
      <c r="C70" s="188" t="s">
        <v>795</v>
      </c>
      <c r="D70" s="171" t="n">
        <f aca="false">'Material Takeoff'!F71</f>
        <v>0</v>
      </c>
      <c r="E70" s="168" t="s">
        <v>718</v>
      </c>
      <c r="F70" s="189" t="s">
        <v>733</v>
      </c>
      <c r="G70" s="196" t="n">
        <v>0</v>
      </c>
      <c r="H70" s="191" t="n">
        <f aca="false">IFERROR(D70*G70,0)</f>
        <v>0</v>
      </c>
    </row>
    <row r="71" customFormat="false" ht="15" hidden="false" customHeight="true" outlineLevel="0" collapsed="false">
      <c r="A71" s="194" t="s">
        <v>799</v>
      </c>
      <c r="B71" s="194"/>
      <c r="C71" s="194"/>
      <c r="D71" s="194"/>
      <c r="E71" s="194"/>
      <c r="F71" s="194"/>
      <c r="G71" s="194"/>
      <c r="H71" s="195" t="n">
        <f aca="false">SUM(H67:H70)</f>
        <v>0</v>
      </c>
    </row>
    <row r="72" customFormat="false" ht="6" hidden="false" customHeight="true" outlineLevel="0" collapsed="false"/>
    <row r="73" customFormat="false" ht="21.75" hidden="false" customHeight="true" outlineLevel="0" collapsed="false">
      <c r="A73" s="197" t="s">
        <v>800</v>
      </c>
      <c r="B73" s="197"/>
      <c r="C73" s="197"/>
      <c r="D73" s="197"/>
      <c r="E73" s="197"/>
      <c r="F73" s="197"/>
      <c r="G73" s="197"/>
      <c r="H73" s="198" t="n">
        <f aca="false">H19+H29+H40+H57+H65+H71</f>
        <v>22302.0226029761</v>
      </c>
    </row>
    <row r="75" customFormat="false" ht="18" hidden="false" customHeight="true" outlineLevel="0" collapsed="false">
      <c r="A75" s="173" t="s">
        <v>801</v>
      </c>
      <c r="B75" s="173"/>
      <c r="C75" s="173"/>
      <c r="D75" s="173"/>
      <c r="E75" s="173"/>
      <c r="F75" s="173"/>
      <c r="G75" s="173"/>
      <c r="H75" s="173"/>
    </row>
    <row r="76" customFormat="false" ht="16.5" hidden="false" customHeight="true" outlineLevel="0" collapsed="false">
      <c r="A76" s="199" t="s">
        <v>454</v>
      </c>
      <c r="B76" s="161" t="s">
        <v>455</v>
      </c>
      <c r="C76" s="161" t="s">
        <v>366</v>
      </c>
      <c r="D76" s="199" t="s">
        <v>495</v>
      </c>
      <c r="E76" s="199" t="s">
        <v>496</v>
      </c>
      <c r="F76" s="161" t="s">
        <v>743</v>
      </c>
      <c r="G76" s="200" t="s">
        <v>744</v>
      </c>
      <c r="H76" s="200" t="s">
        <v>745</v>
      </c>
    </row>
    <row r="77" customFormat="false" ht="16.5" hidden="false" customHeight="true" outlineLevel="0" collapsed="false">
      <c r="A77" s="168"/>
      <c r="B77" s="175"/>
      <c r="C77" s="169"/>
      <c r="D77" s="201"/>
      <c r="E77" s="168"/>
      <c r="F77" s="169"/>
      <c r="G77" s="202"/>
      <c r="H77" s="191" t="n">
        <f aca="false">IFERROR(D77*G77,0)</f>
        <v>0</v>
      </c>
    </row>
    <row r="78" customFormat="false" ht="16.5" hidden="false" customHeight="true" outlineLevel="0" collapsed="false">
      <c r="A78" s="163"/>
      <c r="B78" s="175"/>
      <c r="C78" s="164"/>
      <c r="D78" s="201"/>
      <c r="E78" s="163"/>
      <c r="F78" s="164"/>
      <c r="G78" s="202"/>
      <c r="H78" s="187" t="n">
        <f aca="false">IFERROR(D78*G78,0)</f>
        <v>0</v>
      </c>
    </row>
    <row r="79" customFormat="false" ht="16.5" hidden="false" customHeight="true" outlineLevel="0" collapsed="false">
      <c r="A79" s="168"/>
      <c r="B79" s="175"/>
      <c r="C79" s="169"/>
      <c r="D79" s="201"/>
      <c r="E79" s="168"/>
      <c r="F79" s="169"/>
      <c r="G79" s="202"/>
      <c r="H79" s="191" t="n">
        <f aca="false">IFERROR(D79*G79,0)</f>
        <v>0</v>
      </c>
    </row>
    <row r="80" customFormat="false" ht="16.5" hidden="false" customHeight="true" outlineLevel="0" collapsed="false">
      <c r="A80" s="163"/>
      <c r="B80" s="175"/>
      <c r="C80" s="164"/>
      <c r="D80" s="201"/>
      <c r="E80" s="163"/>
      <c r="F80" s="164"/>
      <c r="G80" s="202"/>
      <c r="H80" s="187" t="n">
        <f aca="false">IFERROR(D80*G80,0)</f>
        <v>0</v>
      </c>
    </row>
    <row r="81" customFormat="false" ht="16.5" hidden="false" customHeight="true" outlineLevel="0" collapsed="false">
      <c r="A81" s="168"/>
      <c r="B81" s="175"/>
      <c r="C81" s="169"/>
      <c r="D81" s="201"/>
      <c r="E81" s="168"/>
      <c r="F81" s="169"/>
      <c r="G81" s="202"/>
      <c r="H81" s="191" t="n">
        <f aca="false">IFERROR(D81*G81,0)</f>
        <v>0</v>
      </c>
    </row>
    <row r="82" customFormat="false" ht="16.5" hidden="false" customHeight="true" outlineLevel="0" collapsed="false">
      <c r="A82" s="163"/>
      <c r="B82" s="175"/>
      <c r="C82" s="164"/>
      <c r="D82" s="201"/>
      <c r="E82" s="163"/>
      <c r="F82" s="164"/>
      <c r="G82" s="202"/>
      <c r="H82" s="187" t="n">
        <f aca="false">IFERROR(D82*G82,0)</f>
        <v>0</v>
      </c>
    </row>
    <row r="83" customFormat="false" ht="16.5" hidden="false" customHeight="true" outlineLevel="0" collapsed="false">
      <c r="A83" s="168"/>
      <c r="B83" s="175"/>
      <c r="C83" s="169"/>
      <c r="D83" s="201"/>
      <c r="E83" s="168"/>
      <c r="F83" s="169"/>
      <c r="G83" s="202"/>
      <c r="H83" s="191" t="n">
        <f aca="false">IFERROR(D83*G83,0)</f>
        <v>0</v>
      </c>
    </row>
    <row r="84" customFormat="false" ht="16.5" hidden="false" customHeight="true" outlineLevel="0" collapsed="false">
      <c r="A84" s="163"/>
      <c r="B84" s="175"/>
      <c r="C84" s="164"/>
      <c r="D84" s="201"/>
      <c r="E84" s="163"/>
      <c r="F84" s="164"/>
      <c r="G84" s="202"/>
      <c r="H84" s="187" t="n">
        <f aca="false">IFERROR(D84*G84,0)</f>
        <v>0</v>
      </c>
    </row>
    <row r="85" customFormat="false" ht="16.5" hidden="false" customHeight="true" outlineLevel="0" collapsed="false">
      <c r="A85" s="168"/>
      <c r="B85" s="175"/>
      <c r="C85" s="169"/>
      <c r="D85" s="201"/>
      <c r="E85" s="168"/>
      <c r="F85" s="169"/>
      <c r="G85" s="202"/>
      <c r="H85" s="191" t="n">
        <f aca="false">IFERROR(D85*G85,0)</f>
        <v>0</v>
      </c>
    </row>
    <row r="86" customFormat="false" ht="16.5" hidden="false" customHeight="true" outlineLevel="0" collapsed="false">
      <c r="A86" s="163"/>
      <c r="B86" s="175"/>
      <c r="C86" s="164"/>
      <c r="D86" s="201"/>
      <c r="E86" s="163"/>
      <c r="F86" s="164"/>
      <c r="G86" s="202"/>
      <c r="H86" s="187" t="n">
        <f aca="false">IFERROR(D86*G86,0)</f>
        <v>0</v>
      </c>
    </row>
    <row r="87" customFormat="false" ht="16.5" hidden="false" customHeight="true" outlineLevel="0" collapsed="false">
      <c r="A87" s="168"/>
      <c r="B87" s="169"/>
      <c r="C87" s="169"/>
      <c r="D87" s="171"/>
      <c r="E87" s="168"/>
      <c r="F87" s="169"/>
      <c r="G87" s="203"/>
      <c r="H87" s="191" t="n">
        <f aca="false">IFERROR(D87*G87,0)</f>
        <v>0</v>
      </c>
    </row>
    <row r="88" customFormat="false" ht="16.5" hidden="false" customHeight="true" outlineLevel="0" collapsed="false">
      <c r="A88" s="163"/>
      <c r="B88" s="164"/>
      <c r="C88" s="164"/>
      <c r="D88" s="166"/>
      <c r="E88" s="163"/>
      <c r="F88" s="164"/>
      <c r="G88" s="204"/>
      <c r="H88" s="187" t="n">
        <f aca="false">IFERROR(D88*G88,0)</f>
        <v>0</v>
      </c>
    </row>
    <row r="89" customFormat="false" ht="16.5" hidden="false" customHeight="true" outlineLevel="0" collapsed="false">
      <c r="A89" s="168"/>
      <c r="B89" s="169"/>
      <c r="C89" s="169"/>
      <c r="D89" s="171"/>
      <c r="E89" s="168"/>
      <c r="F89" s="169"/>
      <c r="G89" s="203"/>
      <c r="H89" s="191" t="n">
        <f aca="false">IFERROR(D89*G89,0)</f>
        <v>0</v>
      </c>
    </row>
    <row r="90" customFormat="false" ht="16.5" hidden="false" customHeight="true" outlineLevel="0" collapsed="false">
      <c r="A90" s="163"/>
      <c r="B90" s="164"/>
      <c r="C90" s="164"/>
      <c r="D90" s="166"/>
      <c r="E90" s="163"/>
      <c r="F90" s="164"/>
      <c r="G90" s="204"/>
      <c r="H90" s="187" t="n">
        <f aca="false">IFERROR(D90*G90,0)</f>
        <v>0</v>
      </c>
    </row>
    <row r="91" customFormat="false" ht="18" hidden="false" customHeight="true" outlineLevel="0" collapsed="false">
      <c r="A91" s="205" t="s">
        <v>802</v>
      </c>
      <c r="B91" s="205"/>
      <c r="C91" s="205"/>
      <c r="D91" s="205"/>
      <c r="E91" s="205"/>
      <c r="F91" s="205"/>
      <c r="G91" s="205"/>
      <c r="H91" s="206" t="n">
        <f aca="false">SUM(H77:H90)</f>
        <v>0</v>
      </c>
    </row>
    <row r="92" customFormat="false" ht="24" hidden="false" customHeight="true" outlineLevel="0" collapsed="false">
      <c r="A92" s="207" t="s">
        <v>803</v>
      </c>
      <c r="B92" s="207"/>
      <c r="C92" s="207"/>
      <c r="D92" s="207"/>
      <c r="E92" s="207"/>
      <c r="F92" s="207"/>
      <c r="G92" s="207"/>
      <c r="H92" s="208" t="n">
        <f aca="false">H73+H91</f>
        <v>22302.0226029761</v>
      </c>
    </row>
    <row r="93" customFormat="false" ht="21.75" hidden="false" customHeight="true" outlineLevel="0" collapsed="false">
      <c r="A93" s="207" t="s">
        <v>804</v>
      </c>
      <c r="B93" s="207"/>
      <c r="C93" s="207"/>
      <c r="D93" s="207"/>
      <c r="E93" s="207"/>
      <c r="F93" s="207"/>
      <c r="G93" s="207"/>
      <c r="H93" s="208" t="n">
        <f aca="false">H92*(1+'Material Estimate'!$H$4)</f>
        <v>26762.4271235713</v>
      </c>
    </row>
    <row r="95" customFormat="false" ht="15" hidden="false" customHeight="true" outlineLevel="0" collapsed="false">
      <c r="A95" s="176" t="s">
        <v>805</v>
      </c>
      <c r="B95" s="176"/>
      <c r="C95" s="176"/>
      <c r="D95" s="176"/>
      <c r="E95" s="176"/>
      <c r="F95" s="176"/>
      <c r="G95" s="176"/>
      <c r="H95" s="176"/>
    </row>
  </sheetData>
  <mergeCells count="22">
    <mergeCell ref="A1:H1"/>
    <mergeCell ref="A2:B2"/>
    <mergeCell ref="A4:D4"/>
    <mergeCell ref="F4:G4"/>
    <mergeCell ref="A7:H7"/>
    <mergeCell ref="A19:G19"/>
    <mergeCell ref="A20:H20"/>
    <mergeCell ref="A29:G29"/>
    <mergeCell ref="A30:H30"/>
    <mergeCell ref="A40:G40"/>
    <mergeCell ref="A41:H41"/>
    <mergeCell ref="A57:G57"/>
    <mergeCell ref="A58:H58"/>
    <mergeCell ref="A65:G65"/>
    <mergeCell ref="A66:H66"/>
    <mergeCell ref="A71:G71"/>
    <mergeCell ref="A73:G73"/>
    <mergeCell ref="A75:H75"/>
    <mergeCell ref="A91:G91"/>
    <mergeCell ref="A92:G92"/>
    <mergeCell ref="A93:G93"/>
    <mergeCell ref="A95:H9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3" min="2" style="1" width="22"/>
    <col collapsed="false" customWidth="true" hidden="false" outlineLevel="0" max="4" min="4" style="1" width="11"/>
    <col collapsed="false" customWidth="true" hidden="false" outlineLevel="0" max="5" min="5" style="1" width="3"/>
    <col collapsed="false" customWidth="true" hidden="false" outlineLevel="0" max="7" min="6" style="1" width="22"/>
    <col collapsed="false" customWidth="true" hidden="false" outlineLevel="0" max="8" min="8" style="1" width="11"/>
  </cols>
  <sheetData>
    <row r="1" customFormat="false" ht="27.75" hidden="false" customHeight="true" outlineLevel="0" collapsed="false">
      <c r="A1" s="177" t="s">
        <v>806</v>
      </c>
      <c r="B1" s="177"/>
      <c r="C1" s="177"/>
      <c r="D1" s="177"/>
      <c r="E1" s="177"/>
      <c r="F1" s="177"/>
      <c r="G1" s="177"/>
      <c r="H1" s="177"/>
    </row>
    <row r="2" customFormat="false" ht="13.5" hidden="false" customHeight="true" outlineLevel="0" collapsed="false">
      <c r="A2" s="150" t="s">
        <v>807</v>
      </c>
      <c r="B2" s="150"/>
      <c r="C2" s="150"/>
      <c r="D2" s="150"/>
      <c r="E2" s="150"/>
      <c r="F2" s="150"/>
      <c r="G2" s="150"/>
      <c r="H2" s="150"/>
    </row>
    <row r="4" customFormat="false" ht="21.75" hidden="false" customHeight="true" outlineLevel="0" collapsed="false">
      <c r="A4" s="209" t="s">
        <v>808</v>
      </c>
      <c r="B4" s="209"/>
      <c r="C4" s="209"/>
      <c r="D4" s="209"/>
      <c r="E4" s="209"/>
      <c r="F4" s="209"/>
      <c r="G4" s="209"/>
      <c r="H4" s="209"/>
    </row>
    <row r="5" customFormat="false" ht="15" hidden="false" customHeight="true" outlineLevel="0" collapsed="false">
      <c r="A5" s="210" t="s">
        <v>809</v>
      </c>
      <c r="B5" s="210"/>
      <c r="C5" s="210"/>
      <c r="D5" s="210"/>
      <c r="E5" s="210" t="s">
        <v>810</v>
      </c>
      <c r="F5" s="210"/>
      <c r="G5" s="210"/>
      <c r="H5" s="210"/>
    </row>
    <row r="6" customFormat="false" ht="18" hidden="false" customHeight="true" outlineLevel="0" collapsed="false">
      <c r="A6" s="211" t="s">
        <v>811</v>
      </c>
      <c r="B6" s="211"/>
      <c r="C6" s="211"/>
      <c r="D6" s="156" t="n">
        <f aca="false">(Settings!$C$16+Settings!$C$17)/12</f>
        <v>0</v>
      </c>
      <c r="E6" s="211" t="s">
        <v>812</v>
      </c>
      <c r="F6" s="211"/>
      <c r="G6" s="211"/>
      <c r="H6" s="212" t="n">
        <f aca="false">IFERROR($D$6*$D$7,0)</f>
        <v>0</v>
      </c>
    </row>
    <row r="7" customFormat="false" ht="18" hidden="false" customHeight="true" outlineLevel="0" collapsed="false">
      <c r="A7" s="211" t="s">
        <v>813</v>
      </c>
      <c r="B7" s="211"/>
      <c r="C7" s="211"/>
      <c r="D7" s="156" t="n">
        <f aca="false">IF((Settings!$C$16+Settings!$C$17)=0,0,12)</f>
        <v>0</v>
      </c>
      <c r="E7" s="211" t="s">
        <v>814</v>
      </c>
      <c r="F7" s="211"/>
      <c r="G7" s="211"/>
      <c r="H7" s="212" t="n">
        <f aca="false">IFERROR(CEILING($D$6*$D$7*1.1/(5.5/12*16),1),0)</f>
        <v>0</v>
      </c>
    </row>
    <row r="8" customFormat="false" ht="18" hidden="false" customHeight="true" outlineLevel="0" collapsed="false">
      <c r="A8" s="211" t="s">
        <v>815</v>
      </c>
      <c r="B8" s="211"/>
      <c r="C8" s="211"/>
      <c r="D8" s="156" t="n">
        <f aca="false">IF(D6=0,0,D6+2*D7)</f>
        <v>0</v>
      </c>
      <c r="E8" s="211" t="s">
        <v>816</v>
      </c>
      <c r="F8" s="211"/>
      <c r="G8" s="211"/>
      <c r="H8" s="212" t="n">
        <f aca="false">IFERROR(CEILING($D$6*$D$7*0.8,1),0)</f>
        <v>0</v>
      </c>
    </row>
    <row r="9" customFormat="false" ht="6" hidden="false" customHeight="true" outlineLevel="0" collapsed="false">
      <c r="E9" s="211" t="s">
        <v>817</v>
      </c>
      <c r="F9" s="211"/>
      <c r="G9" s="211"/>
      <c r="H9" s="212" t="n">
        <f aca="false">IFERROR(CEILING(($D$6+$D$7)*2/16,1),0)</f>
        <v>0</v>
      </c>
    </row>
    <row r="10" customFormat="false" ht="15" hidden="false" customHeight="true" outlineLevel="0" collapsed="false">
      <c r="A10" s="213" t="s">
        <v>818</v>
      </c>
      <c r="B10" s="213"/>
      <c r="C10" s="213"/>
      <c r="D10" s="213"/>
      <c r="E10" s="211" t="s">
        <v>819</v>
      </c>
      <c r="F10" s="211"/>
      <c r="G10" s="211"/>
      <c r="H10" s="212" t="n">
        <f aca="false">$D$8</f>
        <v>0</v>
      </c>
    </row>
    <row r="11" customFormat="false" ht="18" hidden="false" customHeight="true" outlineLevel="0" collapsed="false">
      <c r="A11" s="211" t="s">
        <v>820</v>
      </c>
      <c r="B11" s="211"/>
      <c r="C11" s="211"/>
      <c r="D11" s="214" t="n">
        <v>54.99</v>
      </c>
      <c r="E11" s="215"/>
      <c r="F11" s="215"/>
      <c r="G11" s="215"/>
      <c r="H11" s="216" t="s">
        <v>821</v>
      </c>
    </row>
    <row r="12" customFormat="false" ht="18" hidden="false" customHeight="true" outlineLevel="0" collapsed="false">
      <c r="A12" s="211" t="s">
        <v>822</v>
      </c>
      <c r="B12" s="211"/>
      <c r="C12" s="211"/>
      <c r="D12" s="217" t="n">
        <f aca="false">'Price Database'!$E$21*(2*8/12)/1000</f>
        <v>1.684</v>
      </c>
      <c r="E12" s="211" t="s">
        <v>823</v>
      </c>
      <c r="F12" s="211"/>
      <c r="G12" s="211"/>
      <c r="H12" s="218" t="n">
        <f aca="false">IFERROR(CEILING($D$6*$D$7*1.1/(5.5/12*16),1)*$D$11,0)</f>
        <v>0</v>
      </c>
    </row>
    <row r="13" customFormat="false" ht="18" hidden="false" customHeight="true" outlineLevel="0" collapsed="false">
      <c r="A13" s="211" t="s">
        <v>824</v>
      </c>
      <c r="B13" s="211"/>
      <c r="C13" s="211"/>
      <c r="D13" s="219" t="n">
        <f aca="false">IF(D6=0,0,249.99)</f>
        <v>0</v>
      </c>
      <c r="E13" s="211" t="s">
        <v>825</v>
      </c>
      <c r="F13" s="211"/>
      <c r="G13" s="211"/>
      <c r="H13" s="218" t="n">
        <f aca="false">IFERROR(CEILING($D$6*$D$7*0.8,1)*$D$12,0)</f>
        <v>0</v>
      </c>
    </row>
    <row r="14" customFormat="false" ht="6" hidden="false" customHeight="true" outlineLevel="0" collapsed="false">
      <c r="E14" s="211" t="s">
        <v>826</v>
      </c>
      <c r="F14" s="211"/>
      <c r="G14" s="211"/>
      <c r="H14" s="218" t="n">
        <f aca="false">$D$13</f>
        <v>0</v>
      </c>
    </row>
    <row r="15" customFormat="false" ht="15" hidden="false" customHeight="true" outlineLevel="0" collapsed="false">
      <c r="A15" s="213" t="s">
        <v>827</v>
      </c>
      <c r="B15" s="213"/>
      <c r="C15" s="213"/>
      <c r="D15" s="213"/>
      <c r="E15" s="215"/>
      <c r="F15" s="215"/>
      <c r="G15" s="215"/>
      <c r="H15" s="216" t="s">
        <v>821</v>
      </c>
    </row>
    <row r="16" customFormat="false" ht="18" hidden="false" customHeight="true" outlineLevel="0" collapsed="false">
      <c r="A16" s="211" t="s">
        <v>828</v>
      </c>
      <c r="B16" s="211"/>
      <c r="C16" s="211"/>
      <c r="D16" s="156" t="n">
        <f aca="false">IF(D6=0,0,2)</f>
        <v>0</v>
      </c>
      <c r="E16" s="211" t="s">
        <v>829</v>
      </c>
      <c r="F16" s="211"/>
      <c r="G16" s="211"/>
      <c r="H16" s="218" t="n">
        <f aca="false">IFERROR($D$16*$D$27,0)</f>
        <v>0</v>
      </c>
    </row>
    <row r="17" customFormat="false" ht="18" hidden="false" customHeight="true" outlineLevel="0" collapsed="false">
      <c r="A17" s="211" t="s">
        <v>830</v>
      </c>
      <c r="B17" s="211"/>
      <c r="C17" s="211"/>
      <c r="D17" s="156" t="n">
        <f aca="false">MAX(CEILING(D8/6,1)-4,0)</f>
        <v>0</v>
      </c>
      <c r="E17" s="211" t="s">
        <v>831</v>
      </c>
      <c r="F17" s="211"/>
      <c r="G17" s="211"/>
      <c r="H17" s="218" t="n">
        <f aca="false">IFERROR($D$17*$D$28,0)</f>
        <v>0</v>
      </c>
    </row>
    <row r="18" customFormat="false" ht="18" hidden="false" customHeight="true" outlineLevel="0" collapsed="false">
      <c r="A18" s="211" t="s">
        <v>832</v>
      </c>
      <c r="B18" s="211"/>
      <c r="C18" s="211"/>
      <c r="D18" s="156" t="n">
        <f aca="false">IF(D6=0,0,2)</f>
        <v>0</v>
      </c>
      <c r="E18" s="211" t="s">
        <v>833</v>
      </c>
      <c r="F18" s="211"/>
      <c r="G18" s="211"/>
      <c r="H18" s="218" t="n">
        <f aca="false">IFERROR($D$18*$D$29,0)</f>
        <v>0</v>
      </c>
    </row>
    <row r="19" customFormat="false" ht="18" hidden="false" customHeight="true" outlineLevel="0" collapsed="false">
      <c r="A19" s="211" t="s">
        <v>834</v>
      </c>
      <c r="B19" s="211"/>
      <c r="C19" s="211"/>
      <c r="D19" s="156" t="n">
        <f aca="false">IF(D6=0,0,2)</f>
        <v>0</v>
      </c>
      <c r="E19" s="211" t="s">
        <v>835</v>
      </c>
      <c r="F19" s="211"/>
      <c r="G19" s="211"/>
      <c r="H19" s="218" t="n">
        <f aca="false">IFERROR($D$19*$D$30,0)</f>
        <v>0</v>
      </c>
    </row>
    <row r="20" customFormat="false" ht="18" hidden="false" customHeight="true" outlineLevel="0" collapsed="false">
      <c r="A20" s="211" t="s">
        <v>836</v>
      </c>
      <c r="B20" s="211"/>
      <c r="C20" s="211"/>
      <c r="D20" s="220" t="n">
        <v>0</v>
      </c>
      <c r="E20" s="211" t="s">
        <v>837</v>
      </c>
      <c r="F20" s="211"/>
      <c r="G20" s="211"/>
      <c r="H20" s="218" t="n">
        <f aca="false">IFERROR($D$20*$D$31,0)</f>
        <v>0</v>
      </c>
    </row>
    <row r="21" customFormat="false" ht="18" hidden="false" customHeight="true" outlineLevel="0" collapsed="false">
      <c r="A21" s="211" t="s">
        <v>838</v>
      </c>
      <c r="B21" s="211"/>
      <c r="C21" s="211"/>
      <c r="D21" s="156" t="n">
        <f aca="false">CEILING(D8/8,1)</f>
        <v>0</v>
      </c>
      <c r="E21" s="211" t="s">
        <v>839</v>
      </c>
      <c r="F21" s="211"/>
      <c r="G21" s="211"/>
      <c r="H21" s="218" t="n">
        <f aca="false">IFERROR($D$21*$D$32,0)</f>
        <v>0</v>
      </c>
    </row>
    <row r="22" customFormat="false" ht="18" hidden="false" customHeight="true" outlineLevel="0" collapsed="false">
      <c r="A22" s="211" t="s">
        <v>840</v>
      </c>
      <c r="B22" s="211"/>
      <c r="C22" s="211"/>
      <c r="D22" s="156" t="n">
        <f aca="false">D21*4</f>
        <v>0</v>
      </c>
      <c r="E22" s="211" t="s">
        <v>841</v>
      </c>
      <c r="F22" s="211"/>
      <c r="G22" s="211"/>
      <c r="H22" s="218" t="n">
        <f aca="false">IFERROR($D$22*$D$33,0)</f>
        <v>0</v>
      </c>
    </row>
    <row r="23" customFormat="false" ht="18" hidden="false" customHeight="true" outlineLevel="0" collapsed="false">
      <c r="A23" s="211" t="s">
        <v>842</v>
      </c>
      <c r="B23" s="211"/>
      <c r="C23" s="211"/>
      <c r="D23" s="156" t="n">
        <f aca="false">(D16+D17+D18+D19)*3</f>
        <v>0</v>
      </c>
      <c r="E23" s="211" t="s">
        <v>843</v>
      </c>
      <c r="F23" s="211"/>
      <c r="G23" s="211"/>
      <c r="H23" s="218" t="n">
        <f aca="false">IFERROR($D$23*$D$34,0)</f>
        <v>0</v>
      </c>
    </row>
    <row r="24" customFormat="false" ht="18" hidden="false" customHeight="true" outlineLevel="0" collapsed="false">
      <c r="A24" s="211" t="s">
        <v>844</v>
      </c>
      <c r="B24" s="211"/>
      <c r="C24" s="211"/>
      <c r="D24" s="219" t="n">
        <f aca="false">IF(D6=0,0,150)</f>
        <v>0</v>
      </c>
      <c r="E24" s="211" t="s">
        <v>845</v>
      </c>
      <c r="F24" s="211"/>
      <c r="G24" s="211"/>
      <c r="H24" s="218" t="n">
        <f aca="false">$D$24</f>
        <v>0</v>
      </c>
    </row>
    <row r="25" customFormat="false" ht="6" hidden="false" customHeight="true" outlineLevel="0" collapsed="false">
      <c r="E25" s="211" t="s">
        <v>846</v>
      </c>
      <c r="F25" s="211"/>
      <c r="G25" s="211"/>
      <c r="H25" s="218" t="n">
        <f aca="false">IFERROR($D$16*$D$27+$D$17*$D$28+$D$18*$D$29+$D$19*$D$30+$D$20*$D$31+$D$21*$D$32+$D$22*$D$33+$D$23*$D$34+$D$24,0)</f>
        <v>0</v>
      </c>
    </row>
    <row r="26" customFormat="false" ht="15" hidden="false" customHeight="true" outlineLevel="0" collapsed="false">
      <c r="A26" s="213" t="s">
        <v>847</v>
      </c>
      <c r="B26" s="213"/>
      <c r="C26" s="213"/>
      <c r="D26" s="213"/>
      <c r="E26" s="215"/>
      <c r="F26" s="215"/>
      <c r="G26" s="215"/>
      <c r="H26" s="216" t="s">
        <v>821</v>
      </c>
    </row>
    <row r="27" customFormat="false" ht="18" hidden="false" customHeight="true" outlineLevel="0" collapsed="false">
      <c r="A27" s="211" t="s">
        <v>848</v>
      </c>
      <c r="B27" s="211"/>
      <c r="C27" s="211"/>
      <c r="D27" s="214" t="n">
        <v>85</v>
      </c>
      <c r="E27" s="211" t="s">
        <v>849</v>
      </c>
      <c r="F27" s="211"/>
      <c r="G27" s="211"/>
      <c r="H27" s="221" t="n">
        <f aca="false">IFERROR(CEILING($D$6*$D$7*1.1/(5.5/12*16),1)*$D$11+CEILING($D$6*$D$7*0.8,1)*$D$12+$D$13+$D$16*$D$27+$D$17*$D$28+$D$18*$D$29+$D$19*$D$30+$D$20*$D$31+$D$21*$D$32+$D$22*$D$33+$D$23*$D$34+$D$24,0)</f>
        <v>0</v>
      </c>
    </row>
    <row r="28" customFormat="false" ht="18" hidden="false" customHeight="true" outlineLevel="0" collapsed="false">
      <c r="A28" s="211" t="s">
        <v>850</v>
      </c>
      <c r="B28" s="211"/>
      <c r="C28" s="211"/>
      <c r="D28" s="214" t="n">
        <v>75</v>
      </c>
    </row>
    <row r="29" customFormat="false" ht="18" hidden="false" customHeight="true" outlineLevel="0" collapsed="false">
      <c r="A29" s="211" t="s">
        <v>851</v>
      </c>
      <c r="B29" s="211"/>
      <c r="C29" s="211"/>
      <c r="D29" s="214" t="n">
        <v>75</v>
      </c>
    </row>
    <row r="30" customFormat="false" ht="18" hidden="false" customHeight="true" outlineLevel="0" collapsed="false">
      <c r="A30" s="211" t="s">
        <v>852</v>
      </c>
      <c r="B30" s="211"/>
      <c r="C30" s="211"/>
      <c r="D30" s="214" t="n">
        <v>85</v>
      </c>
    </row>
    <row r="31" customFormat="false" ht="18" hidden="false" customHeight="true" outlineLevel="0" collapsed="false">
      <c r="A31" s="211" t="s">
        <v>853</v>
      </c>
      <c r="B31" s="211"/>
      <c r="C31" s="211"/>
      <c r="D31" s="214" t="n">
        <v>45</v>
      </c>
    </row>
    <row r="32" customFormat="false" ht="18" hidden="false" customHeight="true" outlineLevel="0" collapsed="false">
      <c r="A32" s="211" t="s">
        <v>854</v>
      </c>
      <c r="B32" s="211"/>
      <c r="C32" s="211"/>
      <c r="D32" s="214" t="n">
        <v>55</v>
      </c>
    </row>
    <row r="33" customFormat="false" ht="18" hidden="false" customHeight="true" outlineLevel="0" collapsed="false">
      <c r="A33" s="211" t="s">
        <v>855</v>
      </c>
      <c r="B33" s="211"/>
      <c r="C33" s="211"/>
      <c r="D33" s="214" t="n">
        <v>8</v>
      </c>
    </row>
    <row r="34" customFormat="false" ht="18" hidden="false" customHeight="true" outlineLevel="0" collapsed="false">
      <c r="A34" s="211" t="s">
        <v>856</v>
      </c>
      <c r="B34" s="211"/>
      <c r="C34" s="211"/>
      <c r="D34" s="214" t="n">
        <v>1.25</v>
      </c>
    </row>
    <row r="35" customFormat="false" ht="6" hidden="false" customHeight="true" outlineLevel="0" collapsed="false"/>
    <row r="36" customFormat="false" ht="6" hidden="false" customHeight="true" outlineLevel="0" collapsed="false"/>
    <row r="37" customFormat="false" ht="21.75" hidden="false" customHeight="true" outlineLevel="0" collapsed="false">
      <c r="A37" s="209" t="s">
        <v>857</v>
      </c>
      <c r="B37" s="209"/>
      <c r="C37" s="209"/>
      <c r="D37" s="209"/>
      <c r="E37" s="209"/>
      <c r="F37" s="209"/>
      <c r="G37" s="209"/>
      <c r="H37" s="209"/>
    </row>
    <row r="38" customFormat="false" ht="15" hidden="false" customHeight="true" outlineLevel="0" collapsed="false">
      <c r="A38" s="210" t="s">
        <v>809</v>
      </c>
      <c r="B38" s="210"/>
      <c r="C38" s="210"/>
      <c r="D38" s="210"/>
      <c r="E38" s="210" t="s">
        <v>810</v>
      </c>
      <c r="F38" s="210"/>
      <c r="G38" s="210"/>
      <c r="H38" s="210"/>
    </row>
    <row r="39" customFormat="false" ht="18" hidden="false" customHeight="true" outlineLevel="0" collapsed="false">
      <c r="A39" s="211" t="s">
        <v>858</v>
      </c>
      <c r="B39" s="211"/>
      <c r="C39" s="211"/>
      <c r="D39" s="220" t="n">
        <v>0</v>
      </c>
      <c r="E39" s="211" t="s">
        <v>859</v>
      </c>
      <c r="F39" s="211"/>
      <c r="G39" s="211"/>
      <c r="H39" s="212" t="n">
        <f aca="false">IFERROR($D$39*$D$40*$D$41,0)</f>
        <v>0</v>
      </c>
    </row>
    <row r="40" customFormat="false" ht="18" hidden="false" customHeight="true" outlineLevel="0" collapsed="false">
      <c r="A40" s="211" t="s">
        <v>860</v>
      </c>
      <c r="B40" s="211"/>
      <c r="C40" s="211"/>
      <c r="D40" s="220" t="n">
        <v>0</v>
      </c>
      <c r="E40" s="211" t="s">
        <v>861</v>
      </c>
      <c r="F40" s="211"/>
      <c r="G40" s="211"/>
      <c r="H40" s="212" t="n">
        <f aca="false">IFERROR(CEILING($D$39*$D$40*$D$41*1.1/100,1),0)</f>
        <v>0</v>
      </c>
    </row>
    <row r="41" customFormat="false" ht="18" hidden="false" customHeight="true" outlineLevel="0" collapsed="false">
      <c r="A41" s="211" t="s">
        <v>862</v>
      </c>
      <c r="B41" s="211"/>
      <c r="C41" s="211"/>
      <c r="D41" s="220" t="n">
        <v>2</v>
      </c>
      <c r="E41" s="211" t="s">
        <v>863</v>
      </c>
      <c r="F41" s="211"/>
      <c r="G41" s="211"/>
      <c r="H41" s="212" t="n">
        <f aca="false">IFERROR(CEILING($D$39*12/$D$42,1),0)</f>
        <v>0</v>
      </c>
    </row>
    <row r="42" customFormat="false" ht="18" hidden="false" customHeight="true" outlineLevel="0" collapsed="false">
      <c r="A42" s="211" t="s">
        <v>864</v>
      </c>
      <c r="B42" s="211"/>
      <c r="C42" s="211"/>
      <c r="D42" s="220" t="n">
        <v>16</v>
      </c>
      <c r="E42" s="211" t="s">
        <v>865</v>
      </c>
      <c r="F42" s="211"/>
      <c r="G42" s="211"/>
      <c r="H42" s="212" t="n">
        <f aca="false">IFERROR(CEILING($D$39*12/$D$42,1)*$D$41,0)</f>
        <v>0</v>
      </c>
    </row>
    <row r="43" customFormat="false" ht="18" hidden="false" customHeight="true" outlineLevel="0" collapsed="false">
      <c r="A43" s="211" t="s">
        <v>866</v>
      </c>
      <c r="B43" s="211"/>
      <c r="C43" s="211"/>
      <c r="D43" s="220" t="n">
        <v>0</v>
      </c>
      <c r="E43" s="211" t="s">
        <v>867</v>
      </c>
      <c r="F43" s="211"/>
      <c r="G43" s="211"/>
      <c r="H43" s="222" t="n">
        <f aca="false">$D$40</f>
        <v>0</v>
      </c>
    </row>
    <row r="44" customFormat="false" ht="18" hidden="false" customHeight="true" outlineLevel="0" collapsed="false">
      <c r="A44" s="211" t="s">
        <v>868</v>
      </c>
      <c r="B44" s="211"/>
      <c r="C44" s="211"/>
      <c r="D44" s="220" t="n">
        <v>0</v>
      </c>
      <c r="E44" s="211" t="s">
        <v>869</v>
      </c>
      <c r="F44" s="211"/>
      <c r="G44" s="211"/>
      <c r="H44" s="212" t="n">
        <f aca="false">IFERROR($D$40*2,0)</f>
        <v>0</v>
      </c>
    </row>
    <row r="45" customFormat="false" ht="18" hidden="false" customHeight="true" outlineLevel="0" collapsed="false">
      <c r="A45" s="211" t="s">
        <v>870</v>
      </c>
      <c r="B45" s="211"/>
      <c r="C45" s="211"/>
      <c r="D45" s="220" t="n">
        <v>0</v>
      </c>
      <c r="E45" s="211" t="s">
        <v>871</v>
      </c>
      <c r="F45" s="211"/>
      <c r="G45" s="211"/>
      <c r="H45" s="216" t="s">
        <v>821</v>
      </c>
    </row>
    <row r="46" customFormat="false" ht="6" hidden="false" customHeight="true" outlineLevel="0" collapsed="false">
      <c r="E46" s="211" t="s">
        <v>866</v>
      </c>
      <c r="F46" s="211"/>
      <c r="G46" s="211"/>
      <c r="H46" s="212" t="n">
        <f aca="false">$D$43</f>
        <v>0</v>
      </c>
    </row>
    <row r="47" customFormat="false" ht="18" hidden="false" customHeight="true" outlineLevel="0" collapsed="false">
      <c r="A47" s="211" t="s">
        <v>872</v>
      </c>
      <c r="B47" s="211"/>
      <c r="C47" s="211"/>
      <c r="D47" s="214" t="n">
        <v>394</v>
      </c>
      <c r="E47" s="211" t="s">
        <v>868</v>
      </c>
      <c r="F47" s="211"/>
      <c r="G47" s="211"/>
      <c r="H47" s="212" t="n">
        <f aca="false">$D$44</f>
        <v>0</v>
      </c>
    </row>
    <row r="48" customFormat="false" ht="18" hidden="false" customHeight="true" outlineLevel="0" collapsed="false">
      <c r="A48" s="211" t="s">
        <v>873</v>
      </c>
      <c r="B48" s="211"/>
      <c r="C48" s="211"/>
      <c r="D48" s="214" t="n">
        <v>25</v>
      </c>
      <c r="E48" s="211" t="s">
        <v>870</v>
      </c>
      <c r="F48" s="211"/>
      <c r="G48" s="211"/>
      <c r="H48" s="212" t="n">
        <f aca="false">$D$45</f>
        <v>0</v>
      </c>
    </row>
    <row r="49" customFormat="false" ht="18" hidden="false" customHeight="true" outlineLevel="0" collapsed="false">
      <c r="A49" s="211" t="s">
        <v>874</v>
      </c>
      <c r="B49" s="211"/>
      <c r="C49" s="211"/>
      <c r="D49" s="214" t="n">
        <v>25</v>
      </c>
      <c r="E49" s="215"/>
      <c r="F49" s="215"/>
      <c r="G49" s="215"/>
      <c r="H49" s="216" t="s">
        <v>821</v>
      </c>
    </row>
    <row r="50" customFormat="false" ht="18" hidden="false" customHeight="true" outlineLevel="0" collapsed="false">
      <c r="A50" s="211" t="s">
        <v>875</v>
      </c>
      <c r="B50" s="211"/>
      <c r="C50" s="211"/>
      <c r="D50" s="214" t="n">
        <v>15</v>
      </c>
      <c r="E50" s="211" t="s">
        <v>876</v>
      </c>
      <c r="F50" s="211"/>
      <c r="G50" s="211"/>
      <c r="H50" s="218" t="n">
        <f aca="false">IFERROR(CEILING($D$39*$D$40*$D$41*1.1/100,1)*$D$47,0)</f>
        <v>0</v>
      </c>
    </row>
    <row r="51" customFormat="false" ht="18" hidden="false" customHeight="true" outlineLevel="0" collapsed="false">
      <c r="A51" s="211" t="s">
        <v>877</v>
      </c>
      <c r="B51" s="211"/>
      <c r="C51" s="211"/>
      <c r="D51" s="214" t="n">
        <v>22</v>
      </c>
      <c r="E51" s="211" t="s">
        <v>878</v>
      </c>
      <c r="F51" s="211"/>
      <c r="G51" s="211"/>
      <c r="H51" s="218" t="n">
        <f aca="false">IFERROR($D$43*$D$48,0)</f>
        <v>0</v>
      </c>
    </row>
    <row r="52" customFormat="false" ht="18" hidden="false" customHeight="true" outlineLevel="0" collapsed="false">
      <c r="A52" s="211" t="s">
        <v>879</v>
      </c>
      <c r="B52" s="211"/>
      <c r="C52" s="211"/>
      <c r="D52" s="214" t="n">
        <v>120</v>
      </c>
      <c r="E52" s="211" t="s">
        <v>880</v>
      </c>
      <c r="F52" s="211"/>
      <c r="G52" s="211"/>
      <c r="H52" s="218" t="n">
        <f aca="false">IFERROR($D$40*2*$D$49,0)</f>
        <v>0</v>
      </c>
    </row>
    <row r="53" customFormat="false" ht="18" hidden="false" customHeight="true" outlineLevel="0" collapsed="false">
      <c r="E53" s="211" t="s">
        <v>881</v>
      </c>
      <c r="F53" s="211"/>
      <c r="G53" s="211"/>
      <c r="H53" s="218" t="n">
        <f aca="false">IFERROR($D$44*$D$50,0)</f>
        <v>0</v>
      </c>
    </row>
    <row r="54" customFormat="false" ht="18" hidden="false" customHeight="true" outlineLevel="0" collapsed="false">
      <c r="E54" s="211" t="s">
        <v>882</v>
      </c>
      <c r="F54" s="211"/>
      <c r="G54" s="211"/>
      <c r="H54" s="218" t="n">
        <f aca="false">IFERROR($D$45*$D$51,0)</f>
        <v>0</v>
      </c>
    </row>
    <row r="55" customFormat="false" ht="18" hidden="false" customHeight="true" outlineLevel="0" collapsed="false">
      <c r="E55" s="211" t="s">
        <v>883</v>
      </c>
      <c r="F55" s="211"/>
      <c r="G55" s="211"/>
      <c r="H55" s="218" t="n">
        <f aca="false">$D$52</f>
        <v>120</v>
      </c>
    </row>
    <row r="56" customFormat="false" ht="18" hidden="false" customHeight="true" outlineLevel="0" collapsed="false">
      <c r="E56" s="211" t="s">
        <v>849</v>
      </c>
      <c r="F56" s="211"/>
      <c r="G56" s="211"/>
      <c r="H56" s="221" t="n">
        <f aca="false">IFERROR(CEILING($D$39*$D$40*$D$41*1.1/100,1)*$D$47+$D$43*$D$48+$D$40*2*$D$49+$D$44*$D$50+$D$45*$D$51+$D$52,0)</f>
        <v>120</v>
      </c>
    </row>
    <row r="57" customFormat="false" ht="6" hidden="false" customHeight="true" outlineLevel="0" collapsed="false"/>
    <row r="58" customFormat="false" ht="6" hidden="false" customHeight="true" outlineLevel="0" collapsed="false"/>
    <row r="59" customFormat="false" ht="21.75" hidden="false" customHeight="true" outlineLevel="0" collapsed="false">
      <c r="A59" s="209" t="s">
        <v>884</v>
      </c>
      <c r="B59" s="209"/>
      <c r="C59" s="209"/>
      <c r="D59" s="209"/>
      <c r="E59" s="209"/>
      <c r="F59" s="209"/>
      <c r="G59" s="209"/>
      <c r="H59" s="209"/>
    </row>
    <row r="60" customFormat="false" ht="15" hidden="false" customHeight="true" outlineLevel="0" collapsed="false">
      <c r="A60" s="210" t="s">
        <v>809</v>
      </c>
      <c r="B60" s="210"/>
      <c r="C60" s="210"/>
      <c r="D60" s="210"/>
      <c r="E60" s="210" t="s">
        <v>810</v>
      </c>
      <c r="F60" s="210"/>
      <c r="G60" s="210"/>
      <c r="H60" s="210"/>
    </row>
    <row r="61" customFormat="false" ht="18" hidden="false" customHeight="true" outlineLevel="0" collapsed="false">
      <c r="A61" s="211" t="s">
        <v>885</v>
      </c>
      <c r="B61" s="211"/>
      <c r="C61" s="211"/>
      <c r="D61" s="220" t="n">
        <v>0</v>
      </c>
      <c r="E61" s="211" t="s">
        <v>886</v>
      </c>
      <c r="F61" s="211"/>
      <c r="G61" s="211"/>
      <c r="H61" s="212" t="n">
        <f aca="false">IFERROR(($D$61-$D$62)*(1+$D$63),0)</f>
        <v>0</v>
      </c>
    </row>
    <row r="62" customFormat="false" ht="18" hidden="false" customHeight="true" outlineLevel="0" collapsed="false">
      <c r="A62" s="211" t="s">
        <v>887</v>
      </c>
      <c r="B62" s="211"/>
      <c r="C62" s="211"/>
      <c r="D62" s="220" t="n">
        <v>0</v>
      </c>
      <c r="E62" s="211" t="s">
        <v>888</v>
      </c>
      <c r="F62" s="211"/>
      <c r="G62" s="211"/>
      <c r="H62" s="212" t="n">
        <f aca="false">IFERROR(CEILING(($D$61-$D$62)*(1+$D$63)/100,1),0)</f>
        <v>0</v>
      </c>
    </row>
    <row r="63" customFormat="false" ht="18" hidden="false" customHeight="true" outlineLevel="0" collapsed="false">
      <c r="A63" s="211" t="s">
        <v>889</v>
      </c>
      <c r="B63" s="211"/>
      <c r="C63" s="211"/>
      <c r="D63" s="223" t="n">
        <v>0.1</v>
      </c>
      <c r="E63" s="211" t="s">
        <v>890</v>
      </c>
      <c r="F63" s="211"/>
      <c r="G63" s="211"/>
      <c r="H63" s="212" t="n">
        <f aca="false">IFERROR(CEILING($D$64*0.06,1),0)</f>
        <v>0</v>
      </c>
    </row>
    <row r="64" customFormat="false" ht="18" hidden="false" customHeight="true" outlineLevel="0" collapsed="false">
      <c r="A64" s="211" t="s">
        <v>891</v>
      </c>
      <c r="B64" s="211"/>
      <c r="C64" s="211"/>
      <c r="D64" s="220" t="n">
        <v>0</v>
      </c>
      <c r="E64" s="211" t="s">
        <v>892</v>
      </c>
      <c r="F64" s="211"/>
      <c r="G64" s="211"/>
      <c r="H64" s="212" t="n">
        <f aca="false">IFERROR(CEILING($D$61/1350,1),0)</f>
        <v>0</v>
      </c>
    </row>
    <row r="65" customFormat="false" ht="6" hidden="false" customHeight="true" outlineLevel="0" collapsed="false">
      <c r="E65" s="211" t="s">
        <v>893</v>
      </c>
      <c r="F65" s="211"/>
      <c r="G65" s="211"/>
      <c r="H65" s="212" t="n">
        <f aca="false">IFERROR(CEILING($D$61/200,1),0)</f>
        <v>0</v>
      </c>
    </row>
    <row r="66" customFormat="false" ht="18" hidden="false" customHeight="true" outlineLevel="0" collapsed="false">
      <c r="A66" s="211" t="s">
        <v>894</v>
      </c>
      <c r="B66" s="211"/>
      <c r="C66" s="211"/>
      <c r="D66" s="217" t="n">
        <f aca="false">'Price Database'!$E$27*100/1000</f>
        <v>156.6</v>
      </c>
      <c r="E66" s="211" t="s">
        <v>895</v>
      </c>
      <c r="F66" s="211"/>
      <c r="G66" s="211"/>
      <c r="H66" s="212" t="n">
        <f aca="false">IFERROR(CEILING($D$61/500,1),0)</f>
        <v>0</v>
      </c>
    </row>
    <row r="67" customFormat="false" ht="18" hidden="false" customHeight="true" outlineLevel="0" collapsed="false">
      <c r="A67" s="211" t="s">
        <v>896</v>
      </c>
      <c r="B67" s="211"/>
      <c r="C67" s="211"/>
      <c r="D67" s="217" t="n">
        <f aca="false">'Price Database'!$E$30*(1.25*4*20/12)/1000</f>
        <v>36.1000833333333</v>
      </c>
      <c r="E67" s="215"/>
      <c r="F67" s="215"/>
      <c r="G67" s="215"/>
      <c r="H67" s="216" t="s">
        <v>821</v>
      </c>
    </row>
    <row r="68" customFormat="false" ht="18" hidden="false" customHeight="true" outlineLevel="0" collapsed="false">
      <c r="A68" s="211" t="s">
        <v>897</v>
      </c>
      <c r="B68" s="211"/>
      <c r="C68" s="211"/>
      <c r="D68" s="214" t="n">
        <v>209.99</v>
      </c>
      <c r="E68" s="211" t="s">
        <v>898</v>
      </c>
      <c r="F68" s="211"/>
      <c r="G68" s="211"/>
      <c r="H68" s="218" t="n">
        <f aca="false">IFERROR(CEILING(($D$61-$D$62)*(1+$D$63)/100,1)*$D$66,0)</f>
        <v>0</v>
      </c>
    </row>
    <row r="69" customFormat="false" ht="18" hidden="false" customHeight="true" outlineLevel="0" collapsed="false">
      <c r="A69" s="211" t="s">
        <v>899</v>
      </c>
      <c r="B69" s="211"/>
      <c r="C69" s="211"/>
      <c r="D69" s="214" t="n">
        <v>5.19</v>
      </c>
      <c r="E69" s="211" t="s">
        <v>900</v>
      </c>
      <c r="F69" s="211"/>
      <c r="G69" s="211"/>
      <c r="H69" s="218" t="n">
        <f aca="false">IFERROR(CEILING($D$64*0.06,1)*$D$67,0)</f>
        <v>0</v>
      </c>
    </row>
    <row r="70" customFormat="false" ht="18" hidden="false" customHeight="true" outlineLevel="0" collapsed="false">
      <c r="A70" s="211" t="s">
        <v>901</v>
      </c>
      <c r="B70" s="211"/>
      <c r="C70" s="211"/>
      <c r="D70" s="214" t="n">
        <v>67.99</v>
      </c>
      <c r="E70" s="211" t="s">
        <v>902</v>
      </c>
      <c r="F70" s="211"/>
      <c r="G70" s="211"/>
      <c r="H70" s="218" t="n">
        <f aca="false">IFERROR(CEILING($D$61/1350,1)*$D$68,0)</f>
        <v>0</v>
      </c>
    </row>
    <row r="71" customFormat="false" ht="18" hidden="false" customHeight="true" outlineLevel="0" collapsed="false">
      <c r="E71" s="211" t="s">
        <v>903</v>
      </c>
      <c r="F71" s="211"/>
      <c r="G71" s="211"/>
      <c r="H71" s="218" t="n">
        <f aca="false">IFERROR(CEILING($D$61/200,1)*$D$69,0)</f>
        <v>0</v>
      </c>
    </row>
    <row r="72" customFormat="false" ht="18" hidden="false" customHeight="true" outlineLevel="0" collapsed="false">
      <c r="E72" s="211" t="s">
        <v>904</v>
      </c>
      <c r="F72" s="211"/>
      <c r="G72" s="211"/>
      <c r="H72" s="218" t="n">
        <f aca="false">IFERROR(CEILING($D$61/500,1)*$D$70,0)</f>
        <v>0</v>
      </c>
    </row>
    <row r="73" customFormat="false" ht="18" hidden="false" customHeight="true" outlineLevel="0" collapsed="false">
      <c r="E73" s="211" t="s">
        <v>849</v>
      </c>
      <c r="F73" s="211"/>
      <c r="G73" s="211"/>
      <c r="H73" s="221" t="n">
        <f aca="false">IFERROR(CEILING(($D$61-$D$62)*(1+$D$63)/100,1)*$D$66+CEILING($D$64*0.06,1)*$D$67+CEILING($D$61/1350,1)*$D$68+CEILING($D$61/200,1)*$D$69+CEILING($D$61/500,1)*$D$70,0)</f>
        <v>0</v>
      </c>
    </row>
    <row r="74" customFormat="false" ht="6" hidden="false" customHeight="true" outlineLevel="0" collapsed="false"/>
    <row r="75" customFormat="false" ht="6" hidden="false" customHeight="true" outlineLevel="0" collapsed="false"/>
    <row r="76" customFormat="false" ht="21.75" hidden="false" customHeight="true" outlineLevel="0" collapsed="false">
      <c r="A76" s="209" t="s">
        <v>905</v>
      </c>
      <c r="B76" s="209"/>
      <c r="C76" s="209"/>
      <c r="D76" s="209"/>
      <c r="E76" s="209"/>
      <c r="F76" s="209"/>
      <c r="G76" s="209"/>
      <c r="H76" s="209"/>
    </row>
    <row r="77" customFormat="false" ht="15" hidden="false" customHeight="true" outlineLevel="0" collapsed="false">
      <c r="A77" s="210" t="s">
        <v>809</v>
      </c>
      <c r="B77" s="210"/>
      <c r="C77" s="210"/>
      <c r="D77" s="210"/>
      <c r="E77" s="210" t="s">
        <v>810</v>
      </c>
      <c r="F77" s="210"/>
      <c r="G77" s="210"/>
      <c r="H77" s="210"/>
    </row>
    <row r="78" customFormat="false" ht="18" hidden="false" customHeight="true" outlineLevel="0" collapsed="false">
      <c r="A78" s="211" t="s">
        <v>885</v>
      </c>
      <c r="B78" s="211"/>
      <c r="C78" s="211"/>
      <c r="D78" s="220" t="n">
        <v>0</v>
      </c>
      <c r="E78" s="211" t="s">
        <v>906</v>
      </c>
      <c r="F78" s="211"/>
      <c r="G78" s="211"/>
      <c r="H78" s="212" t="n">
        <f aca="false">IFERROR(($D$78-$D$79)*(1+$D$80),0)</f>
        <v>0</v>
      </c>
    </row>
    <row r="79" customFormat="false" ht="18" hidden="false" customHeight="true" outlineLevel="0" collapsed="false">
      <c r="A79" s="211" t="s">
        <v>887</v>
      </c>
      <c r="B79" s="211"/>
      <c r="C79" s="211"/>
      <c r="D79" s="220" t="n">
        <v>0</v>
      </c>
      <c r="E79" s="211" t="s">
        <v>907</v>
      </c>
      <c r="F79" s="211"/>
      <c r="G79" s="211"/>
      <c r="H79" s="212" t="n">
        <f aca="false">IFERROR(CEILING(($D$78-$D$79)*(1+$D$80)/40,1),0)</f>
        <v>0</v>
      </c>
    </row>
    <row r="80" customFormat="false" ht="18" hidden="false" customHeight="true" outlineLevel="0" collapsed="false">
      <c r="A80" s="211" t="s">
        <v>889</v>
      </c>
      <c r="B80" s="211"/>
      <c r="C80" s="211"/>
      <c r="D80" s="223" t="n">
        <v>0.1</v>
      </c>
      <c r="E80" s="211" t="s">
        <v>908</v>
      </c>
      <c r="F80" s="211"/>
      <c r="G80" s="211"/>
      <c r="H80" s="212" t="n">
        <f aca="false">IFERROR(CEILING(($D$78/$D$82*12)*$D$81*(1+$D$80),1),0)</f>
        <v>0</v>
      </c>
    </row>
    <row r="81" customFormat="false" ht="18" hidden="false" customHeight="true" outlineLevel="0" collapsed="false">
      <c r="A81" s="211" t="s">
        <v>909</v>
      </c>
      <c r="B81" s="211"/>
      <c r="C81" s="211"/>
      <c r="D81" s="220" t="n">
        <v>9</v>
      </c>
      <c r="E81" s="211" t="s">
        <v>892</v>
      </c>
      <c r="F81" s="211"/>
      <c r="G81" s="211"/>
      <c r="H81" s="212" t="n">
        <f aca="false">IFERROR(CEILING($D$78/1350,1),0)</f>
        <v>0</v>
      </c>
    </row>
    <row r="82" customFormat="false" ht="18" hidden="false" customHeight="true" outlineLevel="0" collapsed="false">
      <c r="A82" s="211" t="s">
        <v>910</v>
      </c>
      <c r="B82" s="211"/>
      <c r="C82" s="211"/>
      <c r="D82" s="220" t="n">
        <v>12</v>
      </c>
      <c r="E82" s="211" t="s">
        <v>893</v>
      </c>
      <c r="F82" s="211"/>
      <c r="G82" s="211"/>
      <c r="H82" s="212" t="n">
        <f aca="false">IFERROR(CEILING($D$78/150,1),0)</f>
        <v>0</v>
      </c>
    </row>
    <row r="83" customFormat="false" ht="6" hidden="false" customHeight="true" outlineLevel="0" collapsed="false">
      <c r="E83" s="211" t="s">
        <v>895</v>
      </c>
      <c r="F83" s="211"/>
      <c r="G83" s="211"/>
      <c r="H83" s="212" t="n">
        <f aca="false">IFERROR(CEILING($D$78/500,1),0)</f>
        <v>0</v>
      </c>
    </row>
    <row r="84" customFormat="false" ht="18" hidden="false" customHeight="true" outlineLevel="0" collapsed="false">
      <c r="A84" s="211" t="s">
        <v>911</v>
      </c>
      <c r="B84" s="211"/>
      <c r="C84" s="211"/>
      <c r="D84" s="217" t="n">
        <f aca="false">'Price Database'!$E$28*40/1000</f>
        <v>63.28</v>
      </c>
      <c r="E84" s="215"/>
      <c r="F84" s="215"/>
      <c r="G84" s="215"/>
      <c r="H84" s="216" t="s">
        <v>821</v>
      </c>
    </row>
    <row r="85" customFormat="false" ht="18" hidden="false" customHeight="true" outlineLevel="0" collapsed="false">
      <c r="A85" s="211" t="s">
        <v>912</v>
      </c>
      <c r="B85" s="211"/>
      <c r="C85" s="211"/>
      <c r="D85" s="214" t="n">
        <v>1.25</v>
      </c>
      <c r="E85" s="211" t="s">
        <v>876</v>
      </c>
      <c r="F85" s="211"/>
      <c r="G85" s="211"/>
      <c r="H85" s="218" t="n">
        <f aca="false">IFERROR(CEILING(($D$78-$D$79)*(1+$D$80)/40,1)*$D$84,0)</f>
        <v>0</v>
      </c>
    </row>
    <row r="86" customFormat="false" ht="18" hidden="false" customHeight="true" outlineLevel="0" collapsed="false">
      <c r="A86" s="211" t="s">
        <v>897</v>
      </c>
      <c r="B86" s="211"/>
      <c r="C86" s="211"/>
      <c r="D86" s="214" t="n">
        <v>209.99</v>
      </c>
      <c r="E86" s="211" t="s">
        <v>913</v>
      </c>
      <c r="F86" s="211"/>
      <c r="G86" s="211"/>
      <c r="H86" s="218" t="n">
        <f aca="false">IFERROR(CEILING(($D$78/$D$82*12)*$D$81*(1+$D$80),1)*$D$85,0)</f>
        <v>0</v>
      </c>
    </row>
    <row r="87" customFormat="false" ht="18" hidden="false" customHeight="true" outlineLevel="0" collapsed="false">
      <c r="A87" s="211" t="s">
        <v>899</v>
      </c>
      <c r="B87" s="211"/>
      <c r="C87" s="211"/>
      <c r="D87" s="214" t="n">
        <v>5.19</v>
      </c>
      <c r="E87" s="211" t="s">
        <v>902</v>
      </c>
      <c r="F87" s="211"/>
      <c r="G87" s="211"/>
      <c r="H87" s="218" t="n">
        <f aca="false">IFERROR(CEILING($D$78/1350,1)*$D$86,0)</f>
        <v>0</v>
      </c>
    </row>
    <row r="88" customFormat="false" ht="18" hidden="false" customHeight="true" outlineLevel="0" collapsed="false">
      <c r="A88" s="211" t="s">
        <v>914</v>
      </c>
      <c r="B88" s="211"/>
      <c r="C88" s="211"/>
      <c r="D88" s="214" t="n">
        <v>67.99</v>
      </c>
      <c r="E88" s="211" t="s">
        <v>903</v>
      </c>
      <c r="F88" s="211"/>
      <c r="G88" s="211"/>
      <c r="H88" s="218" t="n">
        <f aca="false">IFERROR(CEILING($D$78/150,1)*$D$87,0)</f>
        <v>0</v>
      </c>
    </row>
    <row r="89" customFormat="false" ht="18" hidden="false" customHeight="true" outlineLevel="0" collapsed="false">
      <c r="E89" s="211" t="s">
        <v>904</v>
      </c>
      <c r="F89" s="211"/>
      <c r="G89" s="211"/>
      <c r="H89" s="218" t="n">
        <f aca="false">IFERROR(CEILING($D$78/500,1)*$D$88,0)</f>
        <v>0</v>
      </c>
    </row>
    <row r="90" customFormat="false" ht="18" hidden="false" customHeight="true" outlineLevel="0" collapsed="false">
      <c r="E90" s="211" t="s">
        <v>849</v>
      </c>
      <c r="F90" s="211"/>
      <c r="G90" s="211"/>
      <c r="H90" s="221" t="n">
        <f aca="false">IFERROR(CEILING(($D$78-$D$79)*(1+$D$80)/40,1)*$D$84+CEILING(($D$78/$D$82*12)*$D$81*(1+$D$80),1)*$D$85+CEILING($D$78/1350,1)*$D$86+CEILING($D$78/150,1)*$D$87+CEILING($D$78/500,1)*$D$88,0)</f>
        <v>0</v>
      </c>
    </row>
  </sheetData>
  <mergeCells count="138">
    <mergeCell ref="A1:H1"/>
    <mergeCell ref="A2:H2"/>
    <mergeCell ref="A4:H4"/>
    <mergeCell ref="A5:D5"/>
    <mergeCell ref="E5:H5"/>
    <mergeCell ref="A6:C6"/>
    <mergeCell ref="E6:G6"/>
    <mergeCell ref="A7:C7"/>
    <mergeCell ref="E7:G7"/>
    <mergeCell ref="A8:C8"/>
    <mergeCell ref="E8:G8"/>
    <mergeCell ref="E9:G9"/>
    <mergeCell ref="A10:D10"/>
    <mergeCell ref="E10:G10"/>
    <mergeCell ref="A11:C11"/>
    <mergeCell ref="E11:G11"/>
    <mergeCell ref="A12:C12"/>
    <mergeCell ref="E12:G12"/>
    <mergeCell ref="A13:C13"/>
    <mergeCell ref="E13:G13"/>
    <mergeCell ref="E14:G14"/>
    <mergeCell ref="A15:D15"/>
    <mergeCell ref="E15:G15"/>
    <mergeCell ref="A16:C16"/>
    <mergeCell ref="E16:G16"/>
    <mergeCell ref="A17:C17"/>
    <mergeCell ref="E17:G17"/>
    <mergeCell ref="A18:C18"/>
    <mergeCell ref="E18:G18"/>
    <mergeCell ref="A19:C19"/>
    <mergeCell ref="E19:G19"/>
    <mergeCell ref="A20:C20"/>
    <mergeCell ref="E20:G20"/>
    <mergeCell ref="A21:C21"/>
    <mergeCell ref="E21:G21"/>
    <mergeCell ref="A22:C22"/>
    <mergeCell ref="E22:G22"/>
    <mergeCell ref="A23:C23"/>
    <mergeCell ref="E23:G23"/>
    <mergeCell ref="A24:C24"/>
    <mergeCell ref="E24:G24"/>
    <mergeCell ref="E25:G25"/>
    <mergeCell ref="A26:D26"/>
    <mergeCell ref="E26:G26"/>
    <mergeCell ref="A27:C27"/>
    <mergeCell ref="E27:G27"/>
    <mergeCell ref="A28:C28"/>
    <mergeCell ref="A29:C29"/>
    <mergeCell ref="A30:C30"/>
    <mergeCell ref="A31:C31"/>
    <mergeCell ref="A32:C32"/>
    <mergeCell ref="A33:C33"/>
    <mergeCell ref="A34:C34"/>
    <mergeCell ref="A37:H37"/>
    <mergeCell ref="A38:D38"/>
    <mergeCell ref="E38:H38"/>
    <mergeCell ref="A39:C39"/>
    <mergeCell ref="E39:G39"/>
    <mergeCell ref="A40:C40"/>
    <mergeCell ref="E40:G40"/>
    <mergeCell ref="A41:C41"/>
    <mergeCell ref="E41:G41"/>
    <mergeCell ref="A42:C42"/>
    <mergeCell ref="E42:G42"/>
    <mergeCell ref="A43:C43"/>
    <mergeCell ref="E43:G43"/>
    <mergeCell ref="A44:C44"/>
    <mergeCell ref="E44:G44"/>
    <mergeCell ref="A45:C45"/>
    <mergeCell ref="E45:G45"/>
    <mergeCell ref="E46:G46"/>
    <mergeCell ref="A47:C47"/>
    <mergeCell ref="E47:G47"/>
    <mergeCell ref="A48:C48"/>
    <mergeCell ref="E48:G48"/>
    <mergeCell ref="A49:C49"/>
    <mergeCell ref="E49:G49"/>
    <mergeCell ref="A50:C50"/>
    <mergeCell ref="E50:G50"/>
    <mergeCell ref="A51:C51"/>
    <mergeCell ref="E51:G51"/>
    <mergeCell ref="A52:C52"/>
    <mergeCell ref="E52:G52"/>
    <mergeCell ref="E53:G53"/>
    <mergeCell ref="E54:G54"/>
    <mergeCell ref="E55:G55"/>
    <mergeCell ref="E56:G56"/>
    <mergeCell ref="A59:H59"/>
    <mergeCell ref="A60:D60"/>
    <mergeCell ref="E60:H60"/>
    <mergeCell ref="A61:C61"/>
    <mergeCell ref="E61:G61"/>
    <mergeCell ref="A62:C62"/>
    <mergeCell ref="E62:G62"/>
    <mergeCell ref="A63:C63"/>
    <mergeCell ref="E63:G63"/>
    <mergeCell ref="A64:C64"/>
    <mergeCell ref="E64:G64"/>
    <mergeCell ref="E65:G65"/>
    <mergeCell ref="A66:C66"/>
    <mergeCell ref="E66:G66"/>
    <mergeCell ref="A67:C67"/>
    <mergeCell ref="E67:G67"/>
    <mergeCell ref="A68:C68"/>
    <mergeCell ref="E68:G68"/>
    <mergeCell ref="A69:C69"/>
    <mergeCell ref="E69:G69"/>
    <mergeCell ref="A70:C70"/>
    <mergeCell ref="E70:G70"/>
    <mergeCell ref="E71:G71"/>
    <mergeCell ref="E72:G72"/>
    <mergeCell ref="E73:G73"/>
    <mergeCell ref="A76:H76"/>
    <mergeCell ref="A77:D77"/>
    <mergeCell ref="E77:H77"/>
    <mergeCell ref="A78:C78"/>
    <mergeCell ref="E78:G78"/>
    <mergeCell ref="A79:C79"/>
    <mergeCell ref="E79:G79"/>
    <mergeCell ref="A80:C80"/>
    <mergeCell ref="E80:G80"/>
    <mergeCell ref="A81:C81"/>
    <mergeCell ref="E81:G81"/>
    <mergeCell ref="A82:C82"/>
    <mergeCell ref="E82:G82"/>
    <mergeCell ref="E83:G83"/>
    <mergeCell ref="A84:C84"/>
    <mergeCell ref="E84:G84"/>
    <mergeCell ref="A85:C85"/>
    <mergeCell ref="E85:G85"/>
    <mergeCell ref="A86:C86"/>
    <mergeCell ref="E86:G86"/>
    <mergeCell ref="A87:C87"/>
    <mergeCell ref="E87:G87"/>
    <mergeCell ref="A88:C88"/>
    <mergeCell ref="E88:G88"/>
    <mergeCell ref="E89:G89"/>
    <mergeCell ref="E90:G9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18"/>
    <col collapsed="false" customWidth="true" hidden="false" outlineLevel="0" max="4" min="4" style="1" width="10"/>
    <col collapsed="false" customWidth="true" hidden="false" outlineLevel="0" max="5" min="5" style="1" width="12"/>
    <col collapsed="false" customWidth="true" hidden="false" outlineLevel="0" max="8" min="8" style="1" width="36"/>
  </cols>
  <sheetData>
    <row r="1" customFormat="false" ht="15" hidden="false" customHeight="true" outlineLevel="0" collapsed="false">
      <c r="A1" s="1" t="s">
        <v>915</v>
      </c>
    </row>
    <row r="2" customFormat="false" ht="15" hidden="false" customHeight="true" outlineLevel="0" collapsed="false">
      <c r="A2" s="1" t="s">
        <v>916</v>
      </c>
    </row>
    <row r="3" customFormat="false" ht="15" hidden="false" customHeight="true" outlineLevel="0" collapsed="false">
      <c r="A3" s="1" t="s">
        <v>454</v>
      </c>
      <c r="B3" s="1" t="s">
        <v>455</v>
      </c>
      <c r="C3" s="1" t="s">
        <v>917</v>
      </c>
      <c r="D3" s="1" t="s">
        <v>496</v>
      </c>
      <c r="E3" s="1" t="s">
        <v>744</v>
      </c>
      <c r="F3" s="1" t="s">
        <v>918</v>
      </c>
      <c r="G3" s="1" t="s">
        <v>919</v>
      </c>
      <c r="H3" s="1" t="s">
        <v>366</v>
      </c>
    </row>
    <row r="4" customFormat="false" ht="15" hidden="false" customHeight="true" outlineLevel="0" collapsed="false">
      <c r="A4" s="1" t="s">
        <v>920</v>
      </c>
    </row>
    <row r="5" customFormat="false" ht="15" hidden="false" customHeight="true" outlineLevel="0" collapsed="false">
      <c r="A5" s="1" t="n">
        <v>1</v>
      </c>
      <c r="B5" s="1" t="s">
        <v>921</v>
      </c>
      <c r="C5" s="1" t="s">
        <v>922</v>
      </c>
      <c r="D5" s="1" t="s">
        <v>923</v>
      </c>
      <c r="E5" s="224" t="n">
        <v>800</v>
      </c>
      <c r="F5" s="224" t="n">
        <v>657</v>
      </c>
      <c r="G5" s="225" t="n">
        <v>0.21765601217656</v>
      </c>
      <c r="H5" s="1" t="s">
        <v>924</v>
      </c>
    </row>
    <row r="6" customFormat="false" ht="15" hidden="false" customHeight="true" outlineLevel="0" collapsed="false">
      <c r="A6" s="1" t="n">
        <v>2</v>
      </c>
      <c r="B6" s="1" t="s">
        <v>925</v>
      </c>
      <c r="C6" s="1" t="s">
        <v>926</v>
      </c>
      <c r="D6" s="1" t="s">
        <v>923</v>
      </c>
      <c r="E6" s="224" t="n">
        <v>745</v>
      </c>
      <c r="F6" s="224" t="n">
        <v>555</v>
      </c>
      <c r="G6" s="225" t="n">
        <v>0.342342342342342</v>
      </c>
      <c r="H6" s="1" t="s">
        <v>924</v>
      </c>
    </row>
    <row r="7" customFormat="false" ht="15" hidden="false" customHeight="true" outlineLevel="0" collapsed="false">
      <c r="A7" s="1" t="n">
        <v>3</v>
      </c>
      <c r="B7" s="1" t="s">
        <v>927</v>
      </c>
      <c r="C7" s="1" t="s">
        <v>928</v>
      </c>
      <c r="D7" s="1" t="s">
        <v>923</v>
      </c>
      <c r="E7" s="224" t="n">
        <v>739</v>
      </c>
      <c r="F7" s="224" t="n">
        <v>573</v>
      </c>
      <c r="G7" s="225" t="n">
        <v>0.289703315881326</v>
      </c>
      <c r="H7" s="1" t="s">
        <v>929</v>
      </c>
    </row>
    <row r="8" customFormat="false" ht="15" hidden="false" customHeight="true" outlineLevel="0" collapsed="false">
      <c r="A8" s="1" t="n">
        <v>4</v>
      </c>
      <c r="B8" s="1" t="s">
        <v>930</v>
      </c>
      <c r="C8" s="1" t="s">
        <v>931</v>
      </c>
      <c r="D8" s="1" t="s">
        <v>923</v>
      </c>
      <c r="E8" s="224" t="n">
        <v>788</v>
      </c>
      <c r="F8" s="224" t="n">
        <v>681</v>
      </c>
      <c r="G8" s="225" t="n">
        <v>0.15712187958884</v>
      </c>
      <c r="H8" s="1" t="s">
        <v>929</v>
      </c>
    </row>
    <row r="9" customFormat="false" ht="15" hidden="false" customHeight="true" outlineLevel="0" collapsed="false">
      <c r="A9" s="1" t="n">
        <v>5</v>
      </c>
      <c r="B9" s="1" t="s">
        <v>932</v>
      </c>
      <c r="C9" s="1" t="s">
        <v>933</v>
      </c>
      <c r="D9" s="1" t="s">
        <v>923</v>
      </c>
      <c r="E9" s="224" t="n">
        <v>999</v>
      </c>
      <c r="F9" s="224" t="n">
        <v>858</v>
      </c>
      <c r="G9" s="225" t="n">
        <v>0.164335664335664</v>
      </c>
      <c r="H9" s="1" t="s">
        <v>934</v>
      </c>
    </row>
    <row r="10" customFormat="false" ht="15" hidden="false" customHeight="true" outlineLevel="0" collapsed="false">
      <c r="A10" s="1" t="s">
        <v>935</v>
      </c>
    </row>
    <row r="11" customFormat="false" ht="15" hidden="false" customHeight="true" outlineLevel="0" collapsed="false">
      <c r="A11" s="1" t="n">
        <v>6</v>
      </c>
      <c r="B11" s="1" t="s">
        <v>936</v>
      </c>
      <c r="C11" s="1" t="s">
        <v>937</v>
      </c>
      <c r="D11" s="1" t="s">
        <v>938</v>
      </c>
      <c r="E11" s="224" t="n">
        <v>372</v>
      </c>
      <c r="F11" s="224" t="n">
        <v>456</v>
      </c>
      <c r="G11" s="225" t="n">
        <v>-0.18421052631579</v>
      </c>
      <c r="H11" s="1" t="s">
        <v>564</v>
      </c>
    </row>
    <row r="12" customFormat="false" ht="15" hidden="false" customHeight="true" outlineLevel="0" collapsed="false">
      <c r="A12" s="1" t="n">
        <v>7</v>
      </c>
      <c r="B12" s="1" t="s">
        <v>939</v>
      </c>
      <c r="C12" s="1" t="s">
        <v>940</v>
      </c>
      <c r="D12" s="1" t="s">
        <v>938</v>
      </c>
      <c r="E12" s="224" t="n">
        <v>415</v>
      </c>
      <c r="F12" s="224" t="n">
        <v>468</v>
      </c>
      <c r="G12" s="225" t="n">
        <v>-0.113247863247863</v>
      </c>
      <c r="H12" s="1" t="s">
        <v>564</v>
      </c>
    </row>
    <row r="13" customFormat="false" ht="15" hidden="false" customHeight="true" outlineLevel="0" collapsed="false">
      <c r="A13" s="1" t="n">
        <v>8</v>
      </c>
      <c r="B13" s="1" t="s">
        <v>941</v>
      </c>
      <c r="C13" s="1" t="s">
        <v>942</v>
      </c>
      <c r="D13" s="1" t="s">
        <v>938</v>
      </c>
      <c r="E13" s="224" t="n">
        <v>415</v>
      </c>
      <c r="F13" s="224" t="n">
        <v>468</v>
      </c>
      <c r="G13" s="225" t="n">
        <v>-0.113247863247863</v>
      </c>
      <c r="H13" s="1" t="s">
        <v>943</v>
      </c>
    </row>
    <row r="14" customFormat="false" ht="15" hidden="false" customHeight="true" outlineLevel="0" collapsed="false">
      <c r="A14" s="1" t="n">
        <v>9</v>
      </c>
      <c r="B14" s="1" t="s">
        <v>944</v>
      </c>
      <c r="C14" s="1" t="s">
        <v>945</v>
      </c>
      <c r="D14" s="1" t="s">
        <v>938</v>
      </c>
      <c r="E14" s="224" t="n">
        <v>1195</v>
      </c>
      <c r="F14" s="224" t="n">
        <v>1294</v>
      </c>
      <c r="G14" s="225" t="n">
        <v>-0.0765069551777434</v>
      </c>
      <c r="H14" s="1" t="s">
        <v>946</v>
      </c>
    </row>
    <row r="15" customFormat="false" ht="15" hidden="false" customHeight="true" outlineLevel="0" collapsed="false">
      <c r="A15" s="1" t="s">
        <v>947</v>
      </c>
    </row>
    <row r="16" customFormat="false" ht="15" hidden="false" customHeight="true" outlineLevel="0" collapsed="false">
      <c r="A16" s="1" t="n">
        <v>10</v>
      </c>
      <c r="B16" s="1" t="s">
        <v>948</v>
      </c>
      <c r="C16" s="1" t="s">
        <v>949</v>
      </c>
      <c r="D16" s="1" t="s">
        <v>521</v>
      </c>
      <c r="E16" s="224" t="n">
        <v>3.19</v>
      </c>
      <c r="F16" s="224" t="n">
        <v>3.49</v>
      </c>
      <c r="G16" s="225" t="n">
        <v>-0.0859598853868196</v>
      </c>
      <c r="H16" s="1" t="s">
        <v>950</v>
      </c>
    </row>
    <row r="17" customFormat="false" ht="15" hidden="false" customHeight="true" outlineLevel="0" collapsed="false">
      <c r="A17" s="1" t="n">
        <v>11</v>
      </c>
      <c r="B17" s="1" t="s">
        <v>951</v>
      </c>
      <c r="C17" s="1" t="s">
        <v>952</v>
      </c>
      <c r="D17" s="1" t="s">
        <v>521</v>
      </c>
      <c r="E17" s="224" t="n">
        <v>3.29</v>
      </c>
      <c r="F17" s="224" t="n">
        <v>3.69</v>
      </c>
      <c r="G17" s="225" t="n">
        <v>-0.10840108401084</v>
      </c>
      <c r="H17" s="1" t="s">
        <v>950</v>
      </c>
    </row>
    <row r="18" customFormat="false" ht="15" hidden="false" customHeight="true" outlineLevel="0" collapsed="false">
      <c r="A18" s="1" t="n">
        <v>12</v>
      </c>
      <c r="B18" s="1" t="s">
        <v>953</v>
      </c>
      <c r="C18" s="1" t="s">
        <v>954</v>
      </c>
      <c r="D18" s="1" t="s">
        <v>521</v>
      </c>
      <c r="E18" s="224" t="n">
        <v>22.29</v>
      </c>
      <c r="F18" s="224" t="n">
        <v>25.09</v>
      </c>
      <c r="G18" s="225" t="n">
        <v>-0.111598246313272</v>
      </c>
      <c r="H18" s="1" t="s">
        <v>955</v>
      </c>
    </row>
    <row r="19" customFormat="false" ht="15" hidden="false" customHeight="true" outlineLevel="0" collapsed="false">
      <c r="A19" s="1" t="s">
        <v>956</v>
      </c>
    </row>
    <row r="20" customFormat="false" ht="15" hidden="false" customHeight="true" outlineLevel="0" collapsed="false">
      <c r="A20" s="1" t="n">
        <v>13</v>
      </c>
      <c r="B20" s="1" t="s">
        <v>957</v>
      </c>
      <c r="C20" s="1" t="s">
        <v>958</v>
      </c>
      <c r="D20" s="1" t="s">
        <v>923</v>
      </c>
      <c r="E20" s="224" t="n">
        <v>1363</v>
      </c>
      <c r="F20" s="1" t="s">
        <v>959</v>
      </c>
      <c r="G20" s="1" t="s">
        <v>960</v>
      </c>
      <c r="H20" s="1" t="s">
        <v>961</v>
      </c>
    </row>
    <row r="21" customFormat="false" ht="15" hidden="false" customHeight="true" outlineLevel="0" collapsed="false">
      <c r="A21" s="1" t="n">
        <v>14</v>
      </c>
      <c r="B21" s="1" t="s">
        <v>962</v>
      </c>
      <c r="C21" s="1" t="s">
        <v>963</v>
      </c>
      <c r="D21" s="1" t="s">
        <v>923</v>
      </c>
      <c r="E21" s="224" t="n">
        <v>1263</v>
      </c>
      <c r="F21" s="224" t="n">
        <v>1232</v>
      </c>
      <c r="G21" s="225" t="n">
        <v>0.0251623376623377</v>
      </c>
      <c r="H21" s="1" t="s">
        <v>964</v>
      </c>
    </row>
    <row r="22" customFormat="false" ht="15" hidden="false" customHeight="true" outlineLevel="0" collapsed="false">
      <c r="A22" s="1" t="n">
        <v>15</v>
      </c>
      <c r="B22" s="1" t="s">
        <v>965</v>
      </c>
      <c r="C22" s="1" t="s">
        <v>966</v>
      </c>
      <c r="D22" s="1" t="s">
        <v>923</v>
      </c>
      <c r="E22" s="224" t="n">
        <v>1672</v>
      </c>
      <c r="F22" s="224" t="n">
        <v>1643</v>
      </c>
      <c r="G22" s="225" t="n">
        <v>0.0176506390748631</v>
      </c>
      <c r="H22" s="1" t="s">
        <v>967</v>
      </c>
    </row>
    <row r="23" customFormat="false" ht="15" hidden="false" customHeight="true" outlineLevel="0" collapsed="false">
      <c r="A23" s="1" t="n">
        <v>16</v>
      </c>
      <c r="B23" s="1" t="s">
        <v>968</v>
      </c>
      <c r="C23" s="1" t="s">
        <v>969</v>
      </c>
      <c r="D23" s="1" t="s">
        <v>923</v>
      </c>
      <c r="E23" s="224" t="n">
        <v>1883</v>
      </c>
      <c r="F23" s="224" t="n">
        <v>2173</v>
      </c>
      <c r="G23" s="225" t="n">
        <v>-0.133456051541648</v>
      </c>
      <c r="H23" s="1" t="s">
        <v>970</v>
      </c>
    </row>
    <row r="24" customFormat="false" ht="15" hidden="false" customHeight="true" outlineLevel="0" collapsed="false">
      <c r="A24" s="1" t="s">
        <v>971</v>
      </c>
    </row>
    <row r="25" customFormat="false" ht="15" hidden="false" customHeight="true" outlineLevel="0" collapsed="false">
      <c r="A25" s="1" t="n">
        <v>17</v>
      </c>
      <c r="B25" s="1" t="s">
        <v>972</v>
      </c>
      <c r="C25" s="1" t="s">
        <v>973</v>
      </c>
      <c r="D25" s="1" t="s">
        <v>938</v>
      </c>
      <c r="E25" s="224" t="n">
        <v>6009</v>
      </c>
      <c r="F25" s="224" t="n">
        <v>4792</v>
      </c>
      <c r="G25" s="225" t="n">
        <v>0.253964941569282</v>
      </c>
      <c r="H25" s="1" t="s">
        <v>974</v>
      </c>
    </row>
    <row r="26" customFormat="false" ht="15" hidden="false" customHeight="true" outlineLevel="0" collapsed="false">
      <c r="A26" s="1" t="n">
        <v>18</v>
      </c>
      <c r="B26" s="1" t="s">
        <v>975</v>
      </c>
      <c r="C26" s="1" t="s">
        <v>976</v>
      </c>
      <c r="D26" s="1" t="s">
        <v>938</v>
      </c>
      <c r="E26" s="224" t="n">
        <v>6009</v>
      </c>
      <c r="F26" s="224" t="n">
        <v>4792</v>
      </c>
      <c r="G26" s="225" t="n">
        <v>0.253964941569282</v>
      </c>
      <c r="H26" s="1" t="s">
        <v>974</v>
      </c>
    </row>
    <row r="27" customFormat="false" ht="15" hidden="false" customHeight="true" outlineLevel="0" collapsed="false">
      <c r="A27" s="1" t="n">
        <v>19</v>
      </c>
      <c r="B27" s="1" t="s">
        <v>977</v>
      </c>
      <c r="C27" s="1" t="s">
        <v>978</v>
      </c>
      <c r="D27" s="1" t="s">
        <v>938</v>
      </c>
      <c r="E27" s="224" t="n">
        <v>1566</v>
      </c>
      <c r="F27" s="224" t="n">
        <v>1260</v>
      </c>
      <c r="G27" s="225" t="n">
        <v>0.242857142857143</v>
      </c>
      <c r="H27" s="1" t="s">
        <v>979</v>
      </c>
    </row>
    <row r="28" customFormat="false" ht="15" hidden="false" customHeight="true" outlineLevel="0" collapsed="false">
      <c r="A28" s="1" t="n">
        <v>20</v>
      </c>
      <c r="B28" s="1" t="s">
        <v>980</v>
      </c>
      <c r="C28" s="1" t="s">
        <v>981</v>
      </c>
      <c r="D28" s="1" t="s">
        <v>938</v>
      </c>
      <c r="E28" s="224" t="n">
        <v>1582</v>
      </c>
      <c r="F28" s="1" t="s">
        <v>959</v>
      </c>
      <c r="G28" s="1" t="s">
        <v>960</v>
      </c>
      <c r="H28" s="1" t="s">
        <v>982</v>
      </c>
    </row>
    <row r="29" customFormat="false" ht="15" hidden="false" customHeight="true" outlineLevel="0" collapsed="false">
      <c r="A29" s="1" t="s">
        <v>983</v>
      </c>
    </row>
    <row r="30" customFormat="false" ht="15" hidden="false" customHeight="true" outlineLevel="0" collapsed="false">
      <c r="A30" s="1" t="n">
        <v>21</v>
      </c>
      <c r="B30" s="1" t="s">
        <v>984</v>
      </c>
      <c r="C30" s="1" t="s">
        <v>985</v>
      </c>
      <c r="D30" s="1" t="s">
        <v>923</v>
      </c>
      <c r="E30" s="224" t="n">
        <v>4332.01</v>
      </c>
      <c r="F30" s="1" t="s">
        <v>959</v>
      </c>
      <c r="G30" s="1" t="s">
        <v>960</v>
      </c>
      <c r="H30" s="1" t="s">
        <v>986</v>
      </c>
    </row>
    <row r="31" customFormat="false" ht="15" hidden="false" customHeight="true" outlineLevel="0" collapsed="false">
      <c r="A31" s="1" t="n">
        <v>22</v>
      </c>
      <c r="B31" s="1" t="s">
        <v>987</v>
      </c>
      <c r="C31" s="1" t="s">
        <v>988</v>
      </c>
      <c r="D31" s="1" t="s">
        <v>923</v>
      </c>
      <c r="E31" s="224" t="n">
        <v>4569</v>
      </c>
      <c r="F31" s="1" t="s">
        <v>959</v>
      </c>
      <c r="G31" s="1" t="s">
        <v>960</v>
      </c>
      <c r="H31" s="1" t="s">
        <v>986</v>
      </c>
    </row>
    <row r="32" customFormat="false" ht="15" hidden="false" customHeight="true" outlineLevel="0" collapsed="false">
      <c r="A32" s="1" t="n">
        <v>23</v>
      </c>
      <c r="B32" s="1" t="s">
        <v>989</v>
      </c>
      <c r="C32" s="1" t="s">
        <v>990</v>
      </c>
      <c r="D32" s="1" t="s">
        <v>923</v>
      </c>
      <c r="E32" s="224" t="n">
        <v>3909</v>
      </c>
      <c r="F32" s="1" t="s">
        <v>959</v>
      </c>
      <c r="G32" s="1" t="s">
        <v>960</v>
      </c>
      <c r="H32" s="1" t="s">
        <v>991</v>
      </c>
    </row>
    <row r="33" customFormat="false" ht="15" hidden="false" customHeight="true" outlineLevel="0" collapsed="false">
      <c r="A33" s="1" t="n">
        <v>24</v>
      </c>
      <c r="B33" s="1" t="s">
        <v>992</v>
      </c>
      <c r="C33" s="1" t="s">
        <v>993</v>
      </c>
      <c r="D33" s="1" t="s">
        <v>923</v>
      </c>
      <c r="E33" s="224" t="n">
        <v>3843</v>
      </c>
      <c r="F33" s="1" t="s">
        <v>959</v>
      </c>
      <c r="G33" s="1" t="s">
        <v>960</v>
      </c>
      <c r="H33" s="1" t="s">
        <v>991</v>
      </c>
    </row>
    <row r="34" customFormat="false" ht="15" hidden="false" customHeight="true" outlineLevel="0" collapsed="false">
      <c r="A34" s="1" t="n">
        <v>25</v>
      </c>
      <c r="B34" s="1" t="s">
        <v>994</v>
      </c>
      <c r="C34" s="1" t="s">
        <v>995</v>
      </c>
      <c r="D34" s="1" t="s">
        <v>923</v>
      </c>
      <c r="E34" s="224" t="n">
        <v>3776.99</v>
      </c>
      <c r="F34" s="1" t="s">
        <v>959</v>
      </c>
      <c r="G34" s="1" t="s">
        <v>960</v>
      </c>
      <c r="H34" s="1" t="s">
        <v>996</v>
      </c>
    </row>
    <row r="35" customFormat="false" ht="15" hidden="false" customHeight="true" outlineLevel="0" collapsed="false">
      <c r="A35" s="1" t="s">
        <v>997</v>
      </c>
      <c r="E35" s="224" t="n">
        <v>737.15</v>
      </c>
    </row>
    <row r="37" customFormat="false" ht="15" hidden="false" customHeight="true" outlineLevel="0" collapsed="false">
      <c r="A37" s="1" t="s">
        <v>998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2026-06-30T23:56:15Z</dcterms:created>
  <dc:creator>openpyxl</dc:creator>
  <dc:description/>
  <dc:language>en-US</dc:language>
  <cp:lastModifiedBy/>
  <dcterms:modified xsi:type="dcterms:W3CDTF">2026-07-03T06:49:03Z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